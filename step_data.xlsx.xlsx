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89142475a5b38f/CURSOR/Alkoo/"/>
    </mc:Choice>
  </mc:AlternateContent>
  <xr:revisionPtr revIDLastSave="18" documentId="13_ncr:1_{C473DBDE-0467-4BE0-8395-9F06306A6640}" xr6:coauthVersionLast="47" xr6:coauthVersionMax="47" xr10:uidLastSave="{A69B5872-1358-4DAB-875B-8BD31D17D813}"/>
  <bookViews>
    <workbookView xWindow="-120" yWindow="-120" windowWidth="38640" windowHeight="15720" activeTab="2" xr2:uid="{80A7368D-0987-4F93-836C-3B46FCE69545}"/>
  </bookViews>
  <sheets>
    <sheet name="DATA" sheetId="1" r:id="rId1"/>
    <sheet name="11月" sheetId="6" r:id="rId2"/>
    <sheet name="12月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AH6" i="7" a="1"/>
  <c r="AH6" i="7" s="1"/>
  <c r="AD11" i="6"/>
  <c r="AA11" i="6"/>
  <c r="AB11" i="6" s="1"/>
  <c r="X11" i="6"/>
  <c r="Y11" i="6" s="1"/>
  <c r="U11" i="6"/>
  <c r="P11" i="6"/>
  <c r="Q11" i="6" s="1"/>
  <c r="R11" i="6" s="1"/>
  <c r="I11" i="6"/>
  <c r="AD10" i="6"/>
  <c r="AA10" i="6"/>
  <c r="AB10" i="6" s="1"/>
  <c r="X10" i="6"/>
  <c r="Y10" i="6" s="1"/>
  <c r="U10" i="6"/>
  <c r="P10" i="6"/>
  <c r="Q10" i="6" s="1"/>
  <c r="R10" i="6" s="1"/>
  <c r="I10" i="6"/>
  <c r="AD9" i="6"/>
  <c r="AA9" i="6"/>
  <c r="X9" i="6"/>
  <c r="Y9" i="6" s="1"/>
  <c r="U9" i="6"/>
  <c r="I9" i="6"/>
  <c r="AD8" i="6"/>
  <c r="AA8" i="6"/>
  <c r="AB8" i="6" s="1"/>
  <c r="X8" i="6"/>
  <c r="Y8" i="6" s="1"/>
  <c r="U8" i="6"/>
  <c r="P8" i="6"/>
  <c r="Q8" i="6" s="1"/>
  <c r="R8" i="6" s="1"/>
  <c r="I8" i="6"/>
  <c r="AD7" i="6"/>
  <c r="AA7" i="6"/>
  <c r="AB7" i="6" s="1"/>
  <c r="X7" i="6"/>
  <c r="Y7" i="6" s="1"/>
  <c r="U7" i="6"/>
  <c r="P7" i="6"/>
  <c r="Q7" i="6" s="1"/>
  <c r="R7" i="6" s="1"/>
  <c r="I7" i="6"/>
  <c r="AH6" i="6" a="1"/>
  <c r="AH6" i="6" s="1"/>
  <c r="I6" i="6"/>
  <c r="AD5" i="6"/>
  <c r="AA5" i="6"/>
  <c r="AB5" i="6" s="1"/>
  <c r="X5" i="6"/>
  <c r="Y5" i="6" s="1"/>
  <c r="U5" i="6"/>
  <c r="P5" i="6"/>
  <c r="Q5" i="6" s="1"/>
  <c r="R5" i="6" s="1"/>
  <c r="I5" i="6"/>
  <c r="AD4" i="6"/>
  <c r="AA4" i="6"/>
  <c r="AB4" i="6" s="1"/>
  <c r="X4" i="6"/>
  <c r="Y4" i="6" s="1"/>
  <c r="U4" i="6"/>
  <c r="P4" i="6"/>
  <c r="Q4" i="6" s="1"/>
  <c r="R4" i="6" s="1"/>
  <c r="I4" i="6"/>
  <c r="AD3" i="6"/>
  <c r="AA3" i="6"/>
  <c r="AB3" i="6" s="1"/>
  <c r="X3" i="6"/>
  <c r="Y3" i="6" s="1"/>
  <c r="U3" i="6"/>
  <c r="P3" i="6"/>
  <c r="Q3" i="6" s="1"/>
  <c r="R3" i="6" s="1"/>
  <c r="I3" i="6"/>
  <c r="AD2" i="6"/>
  <c r="AA2" i="6"/>
  <c r="AB2" i="6" s="1"/>
  <c r="X2" i="6"/>
  <c r="Y2" i="6" s="1"/>
  <c r="U2" i="6"/>
  <c r="P2" i="6"/>
  <c r="Q2" i="6" s="1"/>
  <c r="R2" i="6" s="1"/>
  <c r="I2" i="6"/>
  <c r="U11" i="1"/>
  <c r="T11" i="1"/>
  <c r="S11" i="1"/>
  <c r="R11" i="1"/>
  <c r="P11" i="1"/>
  <c r="O11" i="1"/>
  <c r="N11" i="1"/>
  <c r="M11" i="1"/>
  <c r="L11" i="1"/>
  <c r="K11" i="1"/>
  <c r="J11" i="1"/>
  <c r="I11" i="1"/>
  <c r="H11" i="1"/>
  <c r="F11" i="1"/>
  <c r="E11" i="1"/>
  <c r="D11" i="1"/>
  <c r="C11" i="1"/>
  <c r="B11" i="1"/>
  <c r="G11" i="1"/>
  <c r="AH4" i="7" l="1" a="1"/>
  <c r="AH4" i="7" s="1"/>
  <c r="W4" i="1" s="1"/>
  <c r="AH10" i="7" a="1"/>
  <c r="AH10" i="7" s="1"/>
  <c r="W8" i="1" s="1"/>
  <c r="AH3" i="7" a="1"/>
  <c r="AH3" i="7" s="1"/>
  <c r="W6" i="1" s="1"/>
  <c r="AH5" i="7" a="1"/>
  <c r="AH5" i="7" s="1"/>
  <c r="W5" i="1" s="1"/>
  <c r="AH2" i="7" a="1"/>
  <c r="AH2" i="7" s="1"/>
  <c r="W7" i="1" s="1"/>
  <c r="AH8" i="7" a="1"/>
  <c r="AH8" i="7" s="1"/>
  <c r="W2" i="1" s="1"/>
  <c r="AH11" i="7" a="1"/>
  <c r="AH11" i="7" s="1"/>
  <c r="W10" i="1" s="1"/>
  <c r="AH7" i="7" a="1"/>
  <c r="AH7" i="7" s="1"/>
  <c r="W9" i="1" s="1"/>
  <c r="AH9" i="7" a="1"/>
  <c r="AH9" i="7" s="1"/>
  <c r="AH2" i="6" a="1"/>
  <c r="AH2" i="6" s="1"/>
  <c r="S2" i="6"/>
  <c r="AH3" i="6" a="1"/>
  <c r="AH3" i="6" s="1"/>
  <c r="S3" i="6"/>
  <c r="AH4" i="6" a="1"/>
  <c r="AH4" i="6" s="1"/>
  <c r="S4" i="6"/>
  <c r="AH5" i="6" a="1"/>
  <c r="AH5" i="6" s="1"/>
  <c r="S5" i="6"/>
  <c r="AH7" i="6" a="1"/>
  <c r="AH7" i="6" s="1"/>
  <c r="S7" i="6"/>
  <c r="AH8" i="6" a="1"/>
  <c r="AH8" i="6" s="1"/>
  <c r="S8" i="6"/>
  <c r="AH9" i="6" a="1"/>
  <c r="AH9" i="6" s="1"/>
  <c r="AB9" i="6"/>
  <c r="AH10" i="6" a="1"/>
  <c r="AH10" i="6" s="1"/>
  <c r="S10" i="6"/>
  <c r="AH11" i="6" a="1"/>
  <c r="AH11" i="6" s="1"/>
  <c r="S11" i="6"/>
  <c r="V10" i="1" l="1"/>
  <c r="X10" i="1" s="1"/>
  <c r="V8" i="1"/>
  <c r="X8" i="1" s="1"/>
  <c r="V3" i="1"/>
  <c r="X3" i="1" s="1"/>
  <c r="V2" i="1"/>
  <c r="V9" i="1"/>
  <c r="X9" i="1" s="1"/>
  <c r="X5" i="1"/>
  <c r="V5" i="1"/>
  <c r="V4" i="1"/>
  <c r="X4" i="1" s="1"/>
  <c r="V6" i="1"/>
  <c r="X6" i="1" s="1"/>
  <c r="V7" i="1"/>
  <c r="X7" i="1"/>
  <c r="X2" i="1"/>
  <c r="V11" i="1" l="1"/>
  <c r="W11" i="1"/>
  <c r="X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<sst xmlns="http://schemas.openxmlformats.org/spreadsheetml/2006/main" count="81" uniqueCount="41">
  <si>
    <t>孫次郎</t>
  </si>
  <si>
    <t>登録名</t>
    <rPh sb="0" eb="3">
      <t>トウロクメイ</t>
    </rPh>
    <phoneticPr fontId="2"/>
  </si>
  <si>
    <t>3月2024</t>
    <rPh sb="1" eb="2">
      <t>ガツ</t>
    </rPh>
    <phoneticPr fontId="2"/>
  </si>
  <si>
    <t>1月2025</t>
    <phoneticPr fontId="2"/>
  </si>
  <si>
    <t>2月2025</t>
    <phoneticPr fontId="2"/>
  </si>
  <si>
    <t>平均</t>
    <rPh sb="0" eb="2">
      <t>ヘイキン</t>
    </rPh>
    <phoneticPr fontId="2"/>
  </si>
  <si>
    <t>加賀藩</t>
    <phoneticPr fontId="2"/>
  </si>
  <si>
    <t>ボブ</t>
    <phoneticPr fontId="2"/>
  </si>
  <si>
    <t>元キリギリス</t>
    <phoneticPr fontId="2"/>
  </si>
  <si>
    <t>すーさん</t>
    <phoneticPr fontId="2"/>
  </si>
  <si>
    <t>見習いのコウキ</t>
    <phoneticPr fontId="2"/>
  </si>
  <si>
    <t>ハッチ</t>
    <phoneticPr fontId="2"/>
  </si>
  <si>
    <t>すし</t>
    <phoneticPr fontId="2"/>
  </si>
  <si>
    <t>サキ</t>
    <phoneticPr fontId="2"/>
  </si>
  <si>
    <t>邦栄平均</t>
    <rPh sb="0" eb="2">
      <t>ホウエイ</t>
    </rPh>
    <rPh sb="2" eb="4">
      <t>ヘイキン</t>
    </rPh>
    <phoneticPr fontId="2"/>
  </si>
  <si>
    <t>名前</t>
  </si>
  <si>
    <t>登録名</t>
  </si>
  <si>
    <t>かがやん</t>
  </si>
  <si>
    <t>結果</t>
    <rPh sb="0" eb="2">
      <t>ケッカ</t>
    </rPh>
    <phoneticPr fontId="2"/>
  </si>
  <si>
    <t>チーム</t>
    <phoneticPr fontId="2"/>
  </si>
  <si>
    <t>12月2025</t>
    <phoneticPr fontId="2"/>
  </si>
  <si>
    <t>12月2024</t>
    <phoneticPr fontId="2"/>
  </si>
  <si>
    <t>4月2024</t>
    <phoneticPr fontId="2"/>
  </si>
  <si>
    <t>5月2024</t>
    <phoneticPr fontId="2"/>
  </si>
  <si>
    <t>6月2024</t>
    <phoneticPr fontId="2"/>
  </si>
  <si>
    <t>7月2024</t>
    <phoneticPr fontId="2"/>
  </si>
  <si>
    <t>8月2024</t>
    <phoneticPr fontId="2"/>
  </si>
  <si>
    <t>9月2024</t>
    <phoneticPr fontId="2"/>
  </si>
  <si>
    <t>10月2024</t>
    <phoneticPr fontId="2"/>
  </si>
  <si>
    <t>11月2024</t>
    <phoneticPr fontId="2"/>
  </si>
  <si>
    <t>3月2025</t>
    <rPh sb="1" eb="2">
      <t>ガツ</t>
    </rPh>
    <phoneticPr fontId="2"/>
  </si>
  <si>
    <t>4月2025</t>
    <phoneticPr fontId="2"/>
  </si>
  <si>
    <t>5月2025</t>
    <phoneticPr fontId="2"/>
  </si>
  <si>
    <t>6月2025</t>
    <phoneticPr fontId="2"/>
  </si>
  <si>
    <t>7月2025</t>
    <phoneticPr fontId="2"/>
  </si>
  <si>
    <t>8月2025</t>
    <phoneticPr fontId="2"/>
  </si>
  <si>
    <t>9月2025</t>
    <phoneticPr fontId="2"/>
  </si>
  <si>
    <t>10月2025</t>
    <phoneticPr fontId="2"/>
  </si>
  <si>
    <t>11月2025</t>
    <phoneticPr fontId="2"/>
  </si>
  <si>
    <t>南チーム</t>
    <rPh sb="0" eb="1">
      <t>ミナミ</t>
    </rPh>
    <phoneticPr fontId="2"/>
  </si>
  <si>
    <t>北チーム</t>
    <rPh sb="0" eb="1">
      <t>キタ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</si>
</sst>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C5DA80"/>
        <bgColor rgb="FF000000"/>
      </patternFill>
    </fill>
    <fill>
      <patternFill patternType="solid">
        <fgColor rgb="FFFDC67D"/>
        <bgColor rgb="FF000000"/>
      </patternFill>
    </fill>
    <fill>
      <patternFill patternType="solid">
        <fgColor rgb="FFD9E081"/>
        <bgColor rgb="FF000000"/>
      </patternFill>
    </fill>
    <fill>
      <patternFill patternType="solid">
        <fgColor rgb="FFF7E883"/>
        <bgColor rgb="FF000000"/>
      </patternFill>
    </fill>
    <fill>
      <patternFill patternType="solid">
        <fgColor rgb="FFFDBA7B"/>
        <bgColor rgb="FF000000"/>
      </patternFill>
    </fill>
    <fill>
      <patternFill patternType="solid">
        <fgColor rgb="FFF6E883"/>
        <bgColor rgb="FF000000"/>
      </patternFill>
    </fill>
    <fill>
      <patternFill patternType="solid">
        <fgColor rgb="FF7FC67C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>
      <alignment vertical="center"/>
    </xf>
    <xf numFmtId="38" fontId="4" fillId="0" borderId="0" xfId="1" applyFont="1" applyBorder="1">
      <alignment vertical="center"/>
    </xf>
    <xf numFmtId="0" fontId="5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6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8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4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41" fontId="0" fillId="0" borderId="0" xfId="0" applyNumberFormat="1">
      <alignment vertical="center"/>
    </xf>
    <xf numFmtId="56" fontId="0" fillId="0" borderId="0" xfId="0" applyNumberFormat="1">
      <alignment vertical="center"/>
    </xf>
    <xf numFmtId="41" fontId="4" fillId="0" borderId="0" xfId="0" applyNumberFormat="1" applyFont="1">
      <alignment vertical="center"/>
    </xf>
    <xf numFmtId="0" fontId="4" fillId="11" borderId="1" xfId="0" applyFont="1" applyFill="1" applyBorder="1">
      <alignment vertical="center"/>
    </xf>
  </cellXfs>
  <cellStyles count="3">
    <cellStyle name="Hyperlink" xfId="2" xr:uid="{00000000-000B-0000-0000-000008000000}"/>
    <cellStyle name="桁区切り" xfId="1" builtinId="6"/>
    <cellStyle name="標準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numFmt numFmtId="33" formatCode="_ * #,##0_ ;_ * \-#,##0_ ;_ 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CFEEC"/>
      <color rgb="FFFCFEE6"/>
      <color rgb="FFFAF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11</a:t>
            </a:r>
            <a:r>
              <a:rPr lang="ja-JP"/>
              <a:t>月平均歩数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'11月'!$B$2</c:f>
              <c:strCache>
                <c:ptCount val="1"/>
                <c:pt idx="0">
                  <c:v>見習いのコウキ</c:v>
                </c:pt>
              </c:strCache>
            </c:strRef>
          </c:tx>
          <c:spPr>
            <a:ln w="38100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'11月'!$C$2:$AG$2</c:f>
              <c:numCache>
                <c:formatCode>_(* #,##0_);_(* \(#,##0\);_(* "-"_);_(@_)</c:formatCode>
                <c:ptCount val="31"/>
                <c:pt idx="0">
                  <c:v>11814</c:v>
                </c:pt>
                <c:pt idx="1">
                  <c:v>18257</c:v>
                </c:pt>
                <c:pt idx="2">
                  <c:v>16943</c:v>
                </c:pt>
                <c:pt idx="3">
                  <c:v>16058</c:v>
                </c:pt>
                <c:pt idx="4">
                  <c:v>14825</c:v>
                </c:pt>
                <c:pt idx="5">
                  <c:v>14359</c:v>
                </c:pt>
                <c:pt idx="6">
                  <c:v>14359</c:v>
                </c:pt>
                <c:pt idx="7">
                  <c:v>14767</c:v>
                </c:pt>
                <c:pt idx="8">
                  <c:v>13714</c:v>
                </c:pt>
                <c:pt idx="9">
                  <c:v>14713</c:v>
                </c:pt>
                <c:pt idx="10">
                  <c:v>14407</c:v>
                </c:pt>
                <c:pt idx="11">
                  <c:v>14224</c:v>
                </c:pt>
                <c:pt idx="12">
                  <c:v>13899</c:v>
                </c:pt>
                <c:pt idx="13">
                  <c:v>13899</c:v>
                </c:pt>
                <c:pt idx="14">
                  <c:v>13899</c:v>
                </c:pt>
                <c:pt idx="15">
                  <c:v>13899</c:v>
                </c:pt>
                <c:pt idx="16">
                  <c:v>13899</c:v>
                </c:pt>
                <c:pt idx="17">
                  <c:v>13549</c:v>
                </c:pt>
                <c:pt idx="18">
                  <c:v>13549</c:v>
                </c:pt>
                <c:pt idx="19">
                  <c:v>13220</c:v>
                </c:pt>
                <c:pt idx="20">
                  <c:v>13215</c:v>
                </c:pt>
                <c:pt idx="21">
                  <c:v>13215</c:v>
                </c:pt>
                <c:pt idx="22">
                  <c:v>13215</c:v>
                </c:pt>
                <c:pt idx="23">
                  <c:v>13917</c:v>
                </c:pt>
                <c:pt idx="24">
                  <c:v>13917</c:v>
                </c:pt>
                <c:pt idx="25">
                  <c:v>13917</c:v>
                </c:pt>
                <c:pt idx="26">
                  <c:v>12938</c:v>
                </c:pt>
                <c:pt idx="27">
                  <c:v>12938</c:v>
                </c:pt>
                <c:pt idx="28">
                  <c:v>12861</c:v>
                </c:pt>
                <c:pt idx="29">
                  <c:v>13365</c:v>
                </c:pt>
                <c:pt idx="30" formatCode="General">
                  <c:v>13271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F-4980-B5D4-3D5885B188EE}"/>
            </c:ext>
          </c:extLst>
        </c:ser>
        <c:ser>
          <c:idx val="1"/>
          <c:order val="1"/>
          <c:tx>
            <c:strRef>
              <c:f>'11月'!$B$3</c:f>
              <c:strCache>
                <c:ptCount val="1"/>
                <c:pt idx="0">
                  <c:v>すーさん</c:v>
                </c:pt>
              </c:strCache>
            </c:strRef>
          </c:tx>
          <c:spPr>
            <a:ln w="38100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'11月'!$C$3:$AG$3</c:f>
              <c:numCache>
                <c:formatCode>_(* #,##0_);_(* \(#,##0\);_(* "-"_);_(@_)</c:formatCode>
                <c:ptCount val="31"/>
                <c:pt idx="0">
                  <c:v>16931</c:v>
                </c:pt>
                <c:pt idx="1">
                  <c:v>12495</c:v>
                </c:pt>
                <c:pt idx="2">
                  <c:v>15490</c:v>
                </c:pt>
                <c:pt idx="3">
                  <c:v>13468</c:v>
                </c:pt>
                <c:pt idx="4">
                  <c:v>14517</c:v>
                </c:pt>
                <c:pt idx="5">
                  <c:v>13999</c:v>
                </c:pt>
                <c:pt idx="6">
                  <c:v>13999</c:v>
                </c:pt>
                <c:pt idx="7">
                  <c:v>12400</c:v>
                </c:pt>
                <c:pt idx="8">
                  <c:v>11935</c:v>
                </c:pt>
                <c:pt idx="9">
                  <c:v>12777</c:v>
                </c:pt>
                <c:pt idx="10">
                  <c:v>12815</c:v>
                </c:pt>
                <c:pt idx="11">
                  <c:v>13404</c:v>
                </c:pt>
                <c:pt idx="12">
                  <c:v>12940</c:v>
                </c:pt>
                <c:pt idx="13">
                  <c:v>12940</c:v>
                </c:pt>
                <c:pt idx="14">
                  <c:v>12940</c:v>
                </c:pt>
                <c:pt idx="15">
                  <c:v>12940</c:v>
                </c:pt>
                <c:pt idx="16">
                  <c:v>12940</c:v>
                </c:pt>
                <c:pt idx="17">
                  <c:v>12256</c:v>
                </c:pt>
                <c:pt idx="18">
                  <c:v>12256</c:v>
                </c:pt>
                <c:pt idx="19">
                  <c:v>11604</c:v>
                </c:pt>
                <c:pt idx="20">
                  <c:v>11848</c:v>
                </c:pt>
                <c:pt idx="21">
                  <c:v>11848</c:v>
                </c:pt>
                <c:pt idx="22">
                  <c:v>11848</c:v>
                </c:pt>
                <c:pt idx="23">
                  <c:v>11959</c:v>
                </c:pt>
                <c:pt idx="24">
                  <c:v>11959</c:v>
                </c:pt>
                <c:pt idx="25">
                  <c:v>11959</c:v>
                </c:pt>
                <c:pt idx="26">
                  <c:v>11994</c:v>
                </c:pt>
                <c:pt idx="27">
                  <c:v>11994</c:v>
                </c:pt>
                <c:pt idx="28">
                  <c:v>12042</c:v>
                </c:pt>
                <c:pt idx="29">
                  <c:v>12073</c:v>
                </c:pt>
                <c:pt idx="30" formatCode="General">
                  <c:v>12137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F-4980-B5D4-3D5885B188EE}"/>
            </c:ext>
          </c:extLst>
        </c:ser>
        <c:ser>
          <c:idx val="2"/>
          <c:order val="2"/>
          <c:tx>
            <c:strRef>
              <c:f>'11月'!$B$4</c:f>
              <c:strCache>
                <c:ptCount val="1"/>
                <c:pt idx="0">
                  <c:v>元キリギリス</c:v>
                </c:pt>
              </c:strCache>
            </c:strRef>
          </c:tx>
          <c:spPr>
            <a:ln w="38100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'11月'!$C$4:$AG$4</c:f>
              <c:numCache>
                <c:formatCode>_(* #,##0_);_(* \(#,##0\);_(* "-"_);_(@_)</c:formatCode>
                <c:ptCount val="31"/>
                <c:pt idx="0">
                  <c:v>10325</c:v>
                </c:pt>
                <c:pt idx="1">
                  <c:v>10604</c:v>
                </c:pt>
                <c:pt idx="2">
                  <c:v>8690</c:v>
                </c:pt>
                <c:pt idx="3">
                  <c:v>8515</c:v>
                </c:pt>
                <c:pt idx="4">
                  <c:v>9132</c:v>
                </c:pt>
                <c:pt idx="5">
                  <c:v>9749</c:v>
                </c:pt>
                <c:pt idx="6">
                  <c:v>9749</c:v>
                </c:pt>
                <c:pt idx="7">
                  <c:v>10442</c:v>
                </c:pt>
                <c:pt idx="8">
                  <c:v>9566</c:v>
                </c:pt>
                <c:pt idx="9">
                  <c:v>10253</c:v>
                </c:pt>
                <c:pt idx="10">
                  <c:v>10418</c:v>
                </c:pt>
                <c:pt idx="11">
                  <c:v>10573</c:v>
                </c:pt>
                <c:pt idx="12">
                  <c:v>10639</c:v>
                </c:pt>
                <c:pt idx="13">
                  <c:v>10639</c:v>
                </c:pt>
                <c:pt idx="14">
                  <c:v>10639</c:v>
                </c:pt>
                <c:pt idx="15">
                  <c:v>10639</c:v>
                </c:pt>
                <c:pt idx="16">
                  <c:v>10639</c:v>
                </c:pt>
                <c:pt idx="17">
                  <c:v>10037</c:v>
                </c:pt>
                <c:pt idx="18">
                  <c:v>10037</c:v>
                </c:pt>
                <c:pt idx="19">
                  <c:v>10265</c:v>
                </c:pt>
                <c:pt idx="20">
                  <c:v>10554</c:v>
                </c:pt>
                <c:pt idx="21">
                  <c:v>10554</c:v>
                </c:pt>
                <c:pt idx="22">
                  <c:v>10554</c:v>
                </c:pt>
                <c:pt idx="23">
                  <c:v>10116</c:v>
                </c:pt>
                <c:pt idx="24">
                  <c:v>10116</c:v>
                </c:pt>
                <c:pt idx="25">
                  <c:v>10116</c:v>
                </c:pt>
                <c:pt idx="26">
                  <c:v>9657</c:v>
                </c:pt>
                <c:pt idx="27">
                  <c:v>9657</c:v>
                </c:pt>
                <c:pt idx="28">
                  <c:v>9446</c:v>
                </c:pt>
                <c:pt idx="29">
                  <c:v>9405</c:v>
                </c:pt>
                <c:pt idx="30" formatCode="General">
                  <c:v>9382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F-4980-B5D4-3D5885B188EE}"/>
            </c:ext>
          </c:extLst>
        </c:ser>
        <c:ser>
          <c:idx val="3"/>
          <c:order val="3"/>
          <c:tx>
            <c:strRef>
              <c:f>'11月'!$B$5</c:f>
              <c:strCache>
                <c:ptCount val="1"/>
                <c:pt idx="0">
                  <c:v>孫次郎</c:v>
                </c:pt>
              </c:strCache>
            </c:strRef>
          </c:tx>
          <c:spPr>
            <a:ln w="38100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'11月'!$C$5:$AG$5</c:f>
              <c:numCache>
                <c:formatCode>_(* #,##0_);_(* \(#,##0\);_(* "-"_);_(@_)</c:formatCode>
                <c:ptCount val="31"/>
                <c:pt idx="0">
                  <c:v>11460</c:v>
                </c:pt>
                <c:pt idx="1">
                  <c:v>9617</c:v>
                </c:pt>
                <c:pt idx="2">
                  <c:v>10117</c:v>
                </c:pt>
                <c:pt idx="3">
                  <c:v>8054</c:v>
                </c:pt>
                <c:pt idx="4">
                  <c:v>8315</c:v>
                </c:pt>
                <c:pt idx="5">
                  <c:v>7363</c:v>
                </c:pt>
                <c:pt idx="6">
                  <c:v>7363</c:v>
                </c:pt>
                <c:pt idx="7">
                  <c:v>6860</c:v>
                </c:pt>
                <c:pt idx="8">
                  <c:v>6695</c:v>
                </c:pt>
                <c:pt idx="9">
                  <c:v>6814</c:v>
                </c:pt>
                <c:pt idx="10">
                  <c:v>6339</c:v>
                </c:pt>
                <c:pt idx="11">
                  <c:v>7153</c:v>
                </c:pt>
                <c:pt idx="12">
                  <c:v>6714</c:v>
                </c:pt>
                <c:pt idx="13">
                  <c:v>6714</c:v>
                </c:pt>
                <c:pt idx="14">
                  <c:v>6714</c:v>
                </c:pt>
                <c:pt idx="15">
                  <c:v>6714</c:v>
                </c:pt>
                <c:pt idx="16">
                  <c:v>6714</c:v>
                </c:pt>
                <c:pt idx="17">
                  <c:v>6164</c:v>
                </c:pt>
                <c:pt idx="18">
                  <c:v>6164</c:v>
                </c:pt>
                <c:pt idx="19">
                  <c:v>6323</c:v>
                </c:pt>
                <c:pt idx="20">
                  <c:v>6200</c:v>
                </c:pt>
                <c:pt idx="21">
                  <c:v>6200</c:v>
                </c:pt>
                <c:pt idx="22">
                  <c:v>6200</c:v>
                </c:pt>
                <c:pt idx="23">
                  <c:v>6847</c:v>
                </c:pt>
                <c:pt idx="24">
                  <c:v>6847</c:v>
                </c:pt>
                <c:pt idx="25">
                  <c:v>6847</c:v>
                </c:pt>
                <c:pt idx="26">
                  <c:v>6702</c:v>
                </c:pt>
                <c:pt idx="27">
                  <c:v>6702</c:v>
                </c:pt>
                <c:pt idx="28">
                  <c:v>6678</c:v>
                </c:pt>
                <c:pt idx="29">
                  <c:v>6753</c:v>
                </c:pt>
                <c:pt idx="30" formatCode="General">
                  <c:v>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7F-4980-B5D4-3D5885B188EE}"/>
            </c:ext>
          </c:extLst>
        </c:ser>
        <c:ser>
          <c:idx val="4"/>
          <c:order val="4"/>
          <c:tx>
            <c:strRef>
              <c:f>'11月'!$B$6</c:f>
              <c:strCache>
                <c:ptCount val="1"/>
                <c:pt idx="0">
                  <c:v>かがやん</c:v>
                </c:pt>
              </c:strCache>
            </c:strRef>
          </c:tx>
          <c:spPr>
            <a:ln w="38100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'11月'!$C$6:$AG$6</c:f>
              <c:numCache>
                <c:formatCode>_(* #,##0_);_(* \(#,##0\);_(* "-"_);_(@_)</c:formatCode>
                <c:ptCount val="31"/>
                <c:pt idx="0">
                  <c:v>0</c:v>
                </c:pt>
                <c:pt idx="6">
                  <c:v>0</c:v>
                </c:pt>
                <c:pt idx="27">
                  <c:v>6371</c:v>
                </c:pt>
                <c:pt idx="28">
                  <c:v>6371</c:v>
                </c:pt>
                <c:pt idx="29">
                  <c:v>6714</c:v>
                </c:pt>
                <c:pt idx="30" formatCode="General">
                  <c:v>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7F-4980-B5D4-3D5885B188EE}"/>
            </c:ext>
          </c:extLst>
        </c:ser>
        <c:ser>
          <c:idx val="5"/>
          <c:order val="5"/>
          <c:tx>
            <c:strRef>
              <c:f>'11月'!$B$7</c:f>
              <c:strCache>
                <c:ptCount val="1"/>
                <c:pt idx="0">
                  <c:v>すし</c:v>
                </c:pt>
              </c:strCache>
            </c:strRef>
          </c:tx>
          <c:spPr>
            <a:ln w="38100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'11月'!$C$7:$AG$7</c:f>
              <c:numCache>
                <c:formatCode>_(* #,##0_);_(* \(#,##0\);_(* "-"_);_(@_)</c:formatCode>
                <c:ptCount val="31"/>
                <c:pt idx="3">
                  <c:v>3606</c:v>
                </c:pt>
                <c:pt idx="4">
                  <c:v>5593</c:v>
                </c:pt>
                <c:pt idx="5">
                  <c:v>4990</c:v>
                </c:pt>
                <c:pt idx="6">
                  <c:v>4990</c:v>
                </c:pt>
                <c:pt idx="7">
                  <c:v>5464</c:v>
                </c:pt>
                <c:pt idx="8">
                  <c:v>5294</c:v>
                </c:pt>
                <c:pt idx="9">
                  <c:v>5810</c:v>
                </c:pt>
                <c:pt idx="10">
                  <c:v>5713</c:v>
                </c:pt>
                <c:pt idx="11">
                  <c:v>6091</c:v>
                </c:pt>
                <c:pt idx="12">
                  <c:v>6187</c:v>
                </c:pt>
                <c:pt idx="13">
                  <c:v>6187</c:v>
                </c:pt>
                <c:pt idx="14">
                  <c:v>6187</c:v>
                </c:pt>
                <c:pt idx="15">
                  <c:v>6187</c:v>
                </c:pt>
                <c:pt idx="16">
                  <c:v>6187</c:v>
                </c:pt>
                <c:pt idx="17">
                  <c:v>6145</c:v>
                </c:pt>
                <c:pt idx="18">
                  <c:v>6145</c:v>
                </c:pt>
                <c:pt idx="19">
                  <c:v>6484</c:v>
                </c:pt>
                <c:pt idx="20">
                  <c:v>6484</c:v>
                </c:pt>
                <c:pt idx="21">
                  <c:v>6484</c:v>
                </c:pt>
                <c:pt idx="22">
                  <c:v>6484</c:v>
                </c:pt>
                <c:pt idx="23">
                  <c:v>6484</c:v>
                </c:pt>
                <c:pt idx="24">
                  <c:v>6484</c:v>
                </c:pt>
                <c:pt idx="25">
                  <c:v>6484</c:v>
                </c:pt>
                <c:pt idx="26">
                  <c:v>6484</c:v>
                </c:pt>
                <c:pt idx="27">
                  <c:v>6484</c:v>
                </c:pt>
                <c:pt idx="28">
                  <c:v>6252</c:v>
                </c:pt>
                <c:pt idx="29">
                  <c:v>6129</c:v>
                </c:pt>
                <c:pt idx="30" formatCode="General">
                  <c:v>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7F-4980-B5D4-3D5885B188EE}"/>
            </c:ext>
          </c:extLst>
        </c:ser>
        <c:ser>
          <c:idx val="6"/>
          <c:order val="6"/>
          <c:tx>
            <c:strRef>
              <c:f>'11月'!$B$8</c:f>
              <c:strCache>
                <c:ptCount val="1"/>
                <c:pt idx="0">
                  <c:v>加賀藩</c:v>
                </c:pt>
              </c:strCache>
            </c:strRef>
          </c:tx>
          <c:spPr>
            <a:ln w="38100" cap="rnd">
              <a:solidFill>
                <a:srgbClr val="CA501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'11月'!$C$8:$AG$8</c:f>
              <c:numCache>
                <c:formatCode>_(* #,##0_);_(* \(#,##0\);_(* "-"_);_(@_)</c:formatCode>
                <c:ptCount val="31"/>
                <c:pt idx="3">
                  <c:v>2771</c:v>
                </c:pt>
                <c:pt idx="4">
                  <c:v>4031</c:v>
                </c:pt>
                <c:pt idx="5">
                  <c:v>4592</c:v>
                </c:pt>
                <c:pt idx="6">
                  <c:v>4592</c:v>
                </c:pt>
                <c:pt idx="7">
                  <c:v>5550</c:v>
                </c:pt>
                <c:pt idx="8">
                  <c:v>3739</c:v>
                </c:pt>
                <c:pt idx="9">
                  <c:v>4627</c:v>
                </c:pt>
                <c:pt idx="10">
                  <c:v>4865</c:v>
                </c:pt>
                <c:pt idx="11">
                  <c:v>5200</c:v>
                </c:pt>
                <c:pt idx="12">
                  <c:v>5877</c:v>
                </c:pt>
                <c:pt idx="13">
                  <c:v>5877</c:v>
                </c:pt>
                <c:pt idx="14">
                  <c:v>5877</c:v>
                </c:pt>
                <c:pt idx="15">
                  <c:v>5877</c:v>
                </c:pt>
                <c:pt idx="16">
                  <c:v>5877</c:v>
                </c:pt>
                <c:pt idx="17">
                  <c:v>5217</c:v>
                </c:pt>
                <c:pt idx="18">
                  <c:v>5217</c:v>
                </c:pt>
                <c:pt idx="19">
                  <c:v>5410</c:v>
                </c:pt>
                <c:pt idx="20">
                  <c:v>5334</c:v>
                </c:pt>
                <c:pt idx="21">
                  <c:v>5334</c:v>
                </c:pt>
                <c:pt idx="22">
                  <c:v>5334</c:v>
                </c:pt>
                <c:pt idx="23">
                  <c:v>5775</c:v>
                </c:pt>
                <c:pt idx="24">
                  <c:v>5775</c:v>
                </c:pt>
                <c:pt idx="25">
                  <c:v>5775</c:v>
                </c:pt>
                <c:pt idx="26">
                  <c:v>5107</c:v>
                </c:pt>
                <c:pt idx="27">
                  <c:v>5107</c:v>
                </c:pt>
                <c:pt idx="28">
                  <c:v>5033</c:v>
                </c:pt>
                <c:pt idx="29">
                  <c:v>5055</c:v>
                </c:pt>
                <c:pt idx="30" formatCode="General">
                  <c:v>5055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7F-4980-B5D4-3D5885B188EE}"/>
            </c:ext>
          </c:extLst>
        </c:ser>
        <c:ser>
          <c:idx val="7"/>
          <c:order val="7"/>
          <c:tx>
            <c:strRef>
              <c:f>'11月'!$B$9</c:f>
              <c:strCache>
                <c:ptCount val="1"/>
                <c:pt idx="0">
                  <c:v>ボブ</c:v>
                </c:pt>
              </c:strCache>
            </c:strRef>
          </c:tx>
          <c:spPr>
            <a:ln w="38100" cap="rnd">
              <a:solidFill>
                <a:srgbClr val="57811B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'11月'!$C$9:$AG$9</c:f>
              <c:numCache>
                <c:formatCode>_(* #,##0_);_(* \(#,##0\);_(* "-"_);_(@_)</c:formatCode>
                <c:ptCount val="31"/>
                <c:pt idx="0">
                  <c:v>0</c:v>
                </c:pt>
                <c:pt idx="6">
                  <c:v>0</c:v>
                </c:pt>
                <c:pt idx="17">
                  <c:v>3392</c:v>
                </c:pt>
                <c:pt idx="18">
                  <c:v>3392</c:v>
                </c:pt>
                <c:pt idx="19">
                  <c:v>3315</c:v>
                </c:pt>
                <c:pt idx="20">
                  <c:v>3394</c:v>
                </c:pt>
                <c:pt idx="21">
                  <c:v>3394</c:v>
                </c:pt>
                <c:pt idx="22">
                  <c:v>3394</c:v>
                </c:pt>
                <c:pt idx="23">
                  <c:v>3245</c:v>
                </c:pt>
                <c:pt idx="24">
                  <c:v>3245</c:v>
                </c:pt>
                <c:pt idx="25">
                  <c:v>3245</c:v>
                </c:pt>
                <c:pt idx="26">
                  <c:v>3227</c:v>
                </c:pt>
                <c:pt idx="27">
                  <c:v>3227</c:v>
                </c:pt>
                <c:pt idx="28">
                  <c:v>4128</c:v>
                </c:pt>
                <c:pt idx="29">
                  <c:v>4128</c:v>
                </c:pt>
                <c:pt idx="30" formatCode="General">
                  <c:v>4128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7F-4980-B5D4-3D5885B188EE}"/>
            </c:ext>
          </c:extLst>
        </c:ser>
        <c:ser>
          <c:idx val="8"/>
          <c:order val="8"/>
          <c:tx>
            <c:strRef>
              <c:f>'11月'!$B$10</c:f>
              <c:strCache>
                <c:ptCount val="1"/>
                <c:pt idx="0">
                  <c:v>ハッチ</c:v>
                </c:pt>
              </c:strCache>
            </c:strRef>
          </c:tx>
          <c:spPr>
            <a:ln w="38100" cap="rnd">
              <a:solidFill>
                <a:srgbClr val="B146C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'11月'!$C$10:$AG$10</c:f>
              <c:numCache>
                <c:formatCode>_(* #,##0_);_(* \(#,##0\);_(* "-"_);_(@_)</c:formatCode>
                <c:ptCount val="31"/>
                <c:pt idx="0">
                  <c:v>6754</c:v>
                </c:pt>
                <c:pt idx="1">
                  <c:v>6754</c:v>
                </c:pt>
                <c:pt idx="2">
                  <c:v>4673</c:v>
                </c:pt>
                <c:pt idx="3">
                  <c:v>4673</c:v>
                </c:pt>
                <c:pt idx="4">
                  <c:v>4673</c:v>
                </c:pt>
                <c:pt idx="5">
                  <c:v>4673</c:v>
                </c:pt>
                <c:pt idx="6">
                  <c:v>4673</c:v>
                </c:pt>
                <c:pt idx="7">
                  <c:v>4673</c:v>
                </c:pt>
                <c:pt idx="8">
                  <c:v>4673</c:v>
                </c:pt>
                <c:pt idx="9">
                  <c:v>4673</c:v>
                </c:pt>
                <c:pt idx="10">
                  <c:v>4673</c:v>
                </c:pt>
                <c:pt idx="11">
                  <c:v>4673</c:v>
                </c:pt>
                <c:pt idx="12">
                  <c:v>4673</c:v>
                </c:pt>
                <c:pt idx="13">
                  <c:v>4673</c:v>
                </c:pt>
                <c:pt idx="14">
                  <c:v>4673</c:v>
                </c:pt>
                <c:pt idx="15">
                  <c:v>4673</c:v>
                </c:pt>
                <c:pt idx="16">
                  <c:v>4673</c:v>
                </c:pt>
                <c:pt idx="17">
                  <c:v>2777</c:v>
                </c:pt>
                <c:pt idx="18">
                  <c:v>2777</c:v>
                </c:pt>
                <c:pt idx="19">
                  <c:v>2777</c:v>
                </c:pt>
                <c:pt idx="20">
                  <c:v>2777</c:v>
                </c:pt>
                <c:pt idx="21">
                  <c:v>2777</c:v>
                </c:pt>
                <c:pt idx="22">
                  <c:v>2777</c:v>
                </c:pt>
                <c:pt idx="23">
                  <c:v>2777</c:v>
                </c:pt>
                <c:pt idx="24">
                  <c:v>2777</c:v>
                </c:pt>
                <c:pt idx="25">
                  <c:v>2777</c:v>
                </c:pt>
                <c:pt idx="26">
                  <c:v>2777</c:v>
                </c:pt>
                <c:pt idx="27">
                  <c:v>2777</c:v>
                </c:pt>
                <c:pt idx="28">
                  <c:v>2777</c:v>
                </c:pt>
                <c:pt idx="29">
                  <c:v>2379</c:v>
                </c:pt>
                <c:pt idx="30" formatCode="General">
                  <c:v>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7F-4980-B5D4-3D5885B188EE}"/>
            </c:ext>
          </c:extLst>
        </c:ser>
        <c:ser>
          <c:idx val="9"/>
          <c:order val="9"/>
          <c:tx>
            <c:strRef>
              <c:f>'11月'!$B$11</c:f>
              <c:strCache>
                <c:ptCount val="1"/>
                <c:pt idx="0">
                  <c:v>サキ</c:v>
                </c:pt>
              </c:strCache>
            </c:strRef>
          </c:tx>
          <c:spPr>
            <a:ln w="38100" cap="rnd">
              <a:solidFill>
                <a:srgbClr val="AE8C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'11月'!$C$11:$AG$11</c:f>
              <c:numCache>
                <c:formatCode>_(* #,##0_);_(* \(#,##0\);_(* "-"_);_(@_)</c:formatCode>
                <c:ptCount val="31"/>
                <c:pt idx="0">
                  <c:v>3466</c:v>
                </c:pt>
                <c:pt idx="1">
                  <c:v>2448</c:v>
                </c:pt>
                <c:pt idx="2">
                  <c:v>1844</c:v>
                </c:pt>
                <c:pt idx="3">
                  <c:v>1693</c:v>
                </c:pt>
                <c:pt idx="4">
                  <c:v>2054</c:v>
                </c:pt>
                <c:pt idx="5">
                  <c:v>1924</c:v>
                </c:pt>
                <c:pt idx="6">
                  <c:v>1924</c:v>
                </c:pt>
                <c:pt idx="7">
                  <c:v>1767</c:v>
                </c:pt>
                <c:pt idx="8">
                  <c:v>1691</c:v>
                </c:pt>
                <c:pt idx="9">
                  <c:v>1745</c:v>
                </c:pt>
                <c:pt idx="10">
                  <c:v>1738</c:v>
                </c:pt>
                <c:pt idx="11">
                  <c:v>1818</c:v>
                </c:pt>
                <c:pt idx="12">
                  <c:v>1784</c:v>
                </c:pt>
                <c:pt idx="13">
                  <c:v>1784</c:v>
                </c:pt>
                <c:pt idx="14">
                  <c:v>1784</c:v>
                </c:pt>
                <c:pt idx="15">
                  <c:v>1784</c:v>
                </c:pt>
                <c:pt idx="16">
                  <c:v>1784</c:v>
                </c:pt>
                <c:pt idx="17">
                  <c:v>1841</c:v>
                </c:pt>
                <c:pt idx="18">
                  <c:v>1841</c:v>
                </c:pt>
                <c:pt idx="19">
                  <c:v>1871</c:v>
                </c:pt>
                <c:pt idx="20">
                  <c:v>1826</c:v>
                </c:pt>
                <c:pt idx="21">
                  <c:v>1826</c:v>
                </c:pt>
                <c:pt idx="22">
                  <c:v>1826</c:v>
                </c:pt>
                <c:pt idx="23">
                  <c:v>1893</c:v>
                </c:pt>
                <c:pt idx="24">
                  <c:v>1893</c:v>
                </c:pt>
                <c:pt idx="25">
                  <c:v>1893</c:v>
                </c:pt>
                <c:pt idx="26">
                  <c:v>1842</c:v>
                </c:pt>
                <c:pt idx="27">
                  <c:v>1842</c:v>
                </c:pt>
                <c:pt idx="28">
                  <c:v>1865</c:v>
                </c:pt>
                <c:pt idx="29">
                  <c:v>1990</c:v>
                </c:pt>
                <c:pt idx="30" formatCode="General">
                  <c:v>2130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7F-4980-B5D4-3D5885B188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24022024"/>
        <c:axId val="1624032264"/>
      </c:lineChart>
      <c:catAx>
        <c:axId val="1624022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4032264"/>
        <c:crosses val="autoZero"/>
        <c:auto val="1"/>
        <c:lblAlgn val="ctr"/>
        <c:lblOffset val="100"/>
        <c:noMultiLvlLbl val="0"/>
      </c:catAx>
      <c:valAx>
        <c:axId val="162403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402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09091667154342"/>
          <c:y val="0.17747285020407241"/>
          <c:w val="6.3805035512504257E-2"/>
          <c:h val="0.75595488740867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11</a:t>
            </a:r>
            <a:r>
              <a:rPr lang="ja-JP"/>
              <a:t>月平均歩数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'12月'!$B$2</c:f>
              <c:strCache>
                <c:ptCount val="1"/>
                <c:pt idx="0">
                  <c:v>見習いのコウキ</c:v>
                </c:pt>
              </c:strCache>
            </c:strRef>
          </c:tx>
          <c:spPr>
            <a:ln w="38100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'12月'!$C$2:$AG$2</c:f>
              <c:numCache>
                <c:formatCode>_(* #,##0_);_(* \(#,##0\);_(* "-"_);_(@_)</c:formatCode>
                <c:ptCount val="31"/>
                <c:pt idx="0">
                  <c:v>14970</c:v>
                </c:pt>
                <c:pt idx="1">
                  <c:v>8611</c:v>
                </c:pt>
                <c:pt idx="2">
                  <c:v>7328</c:v>
                </c:pt>
                <c:pt idx="3">
                  <c:v>7998</c:v>
                </c:pt>
                <c:pt idx="4">
                  <c:v>8790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A-4286-BE6F-092FBAEEBB05}"/>
            </c:ext>
          </c:extLst>
        </c:ser>
        <c:ser>
          <c:idx val="1"/>
          <c:order val="1"/>
          <c:tx>
            <c:strRef>
              <c:f>'12月'!$B$3</c:f>
              <c:strCache>
                <c:ptCount val="1"/>
                <c:pt idx="0">
                  <c:v>すーさん</c:v>
                </c:pt>
              </c:strCache>
            </c:strRef>
          </c:tx>
          <c:spPr>
            <a:ln w="38100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'12月'!$C$3:$AG$3</c:f>
              <c:numCache>
                <c:formatCode>_(* #,##0_);_(* \(#,##0\);_(* "-"_);_(@_)</c:formatCode>
                <c:ptCount val="31"/>
                <c:pt idx="0">
                  <c:v>15371</c:v>
                </c:pt>
                <c:pt idx="1">
                  <c:v>17797</c:v>
                </c:pt>
                <c:pt idx="2">
                  <c:v>17885</c:v>
                </c:pt>
                <c:pt idx="3">
                  <c:v>15789</c:v>
                </c:pt>
                <c:pt idx="4">
                  <c:v>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1A-4286-BE6F-092FBAEEBB05}"/>
            </c:ext>
          </c:extLst>
        </c:ser>
        <c:ser>
          <c:idx val="2"/>
          <c:order val="2"/>
          <c:tx>
            <c:strRef>
              <c:f>'12月'!$B$4</c:f>
              <c:strCache>
                <c:ptCount val="1"/>
                <c:pt idx="0">
                  <c:v>元キリギリス</c:v>
                </c:pt>
              </c:strCache>
            </c:strRef>
          </c:tx>
          <c:spPr>
            <a:ln w="38100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'12月'!$C$4:$AG$4</c:f>
              <c:numCache>
                <c:formatCode>_(* #,##0_);_(* \(#,##0\);_(* "-"_);_(@_)</c:formatCode>
                <c:ptCount val="31"/>
                <c:pt idx="0">
                  <c:v>4977</c:v>
                </c:pt>
                <c:pt idx="1">
                  <c:v>5799</c:v>
                </c:pt>
                <c:pt idx="2">
                  <c:v>7736</c:v>
                </c:pt>
                <c:pt idx="3">
                  <c:v>7493</c:v>
                </c:pt>
                <c:pt idx="4">
                  <c:v>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1A-4286-BE6F-092FBAEEBB05}"/>
            </c:ext>
          </c:extLst>
        </c:ser>
        <c:ser>
          <c:idx val="3"/>
          <c:order val="3"/>
          <c:tx>
            <c:strRef>
              <c:f>'12月'!$B$5</c:f>
              <c:strCache>
                <c:ptCount val="1"/>
                <c:pt idx="0">
                  <c:v>孫次郎</c:v>
                </c:pt>
              </c:strCache>
            </c:strRef>
          </c:tx>
          <c:spPr>
            <a:ln w="38100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'12月'!$C$5:$AG$5</c:f>
              <c:numCache>
                <c:formatCode>_(* #,##0_);_(* \(#,##0\);_(* "-"_);_(@_)</c:formatCode>
                <c:ptCount val="31"/>
                <c:pt idx="0">
                  <c:v>4907</c:v>
                </c:pt>
                <c:pt idx="1">
                  <c:v>4750</c:v>
                </c:pt>
                <c:pt idx="2">
                  <c:v>8418</c:v>
                </c:pt>
                <c:pt idx="3">
                  <c:v>6660</c:v>
                </c:pt>
                <c:pt idx="4">
                  <c:v>5740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1A-4286-BE6F-092FBAEEBB05}"/>
            </c:ext>
          </c:extLst>
        </c:ser>
        <c:ser>
          <c:idx val="4"/>
          <c:order val="4"/>
          <c:tx>
            <c:strRef>
              <c:f>'12月'!$B$6</c:f>
              <c:strCache>
                <c:ptCount val="1"/>
                <c:pt idx="0">
                  <c:v>かがやん</c:v>
                </c:pt>
              </c:strCache>
            </c:strRef>
          </c:tx>
          <c:spPr>
            <a:ln w="38100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'12月'!$C$6:$AG$6</c:f>
              <c:numCache>
                <c:formatCode>_(* #,##0_);_(* \(#,##0\);_(* "-"_);_(@_)</c:formatCode>
                <c:ptCount val="31"/>
                <c:pt idx="0">
                  <c:v>0</c:v>
                </c:pt>
                <c:pt idx="1">
                  <c:v>3815</c:v>
                </c:pt>
                <c:pt idx="2">
                  <c:v>5842</c:v>
                </c:pt>
                <c:pt idx="3">
                  <c:v>7425</c:v>
                </c:pt>
                <c:pt idx="4">
                  <c:v>7091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1A-4286-BE6F-092FBAEEBB05}"/>
            </c:ext>
          </c:extLst>
        </c:ser>
        <c:ser>
          <c:idx val="5"/>
          <c:order val="5"/>
          <c:tx>
            <c:strRef>
              <c:f>'12月'!$B$7</c:f>
              <c:strCache>
                <c:ptCount val="1"/>
                <c:pt idx="0">
                  <c:v>すし</c:v>
                </c:pt>
              </c:strCache>
            </c:strRef>
          </c:tx>
          <c:spPr>
            <a:ln w="38100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'12月'!$C$7:$AG$7</c:f>
              <c:numCache>
                <c:formatCode>_(* #,##0_);_(* \(#,##0\);_(* "-"_);_(@_)</c:formatCode>
                <c:ptCount val="31"/>
                <c:pt idx="0">
                  <c:v>1160</c:v>
                </c:pt>
                <c:pt idx="1">
                  <c:v>1160</c:v>
                </c:pt>
                <c:pt idx="2">
                  <c:v>6090</c:v>
                </c:pt>
                <c:pt idx="3">
                  <c:v>4936</c:v>
                </c:pt>
                <c:pt idx="4">
                  <c:v>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1A-4286-BE6F-092FBAEEBB05}"/>
            </c:ext>
          </c:extLst>
        </c:ser>
        <c:ser>
          <c:idx val="6"/>
          <c:order val="6"/>
          <c:tx>
            <c:strRef>
              <c:f>'12月'!$B$8</c:f>
              <c:strCache>
                <c:ptCount val="1"/>
                <c:pt idx="0">
                  <c:v>加賀藩</c:v>
                </c:pt>
              </c:strCache>
            </c:strRef>
          </c:tx>
          <c:spPr>
            <a:ln w="38100" cap="rnd">
              <a:solidFill>
                <a:srgbClr val="CA501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'12月'!$C$8:$AG$8</c:f>
              <c:numCache>
                <c:formatCode>_(* #,##0_);_(* \(#,##0\);_(* "-"_);_(@_)</c:formatCode>
                <c:ptCount val="31"/>
                <c:pt idx="0">
                  <c:v>10622</c:v>
                </c:pt>
                <c:pt idx="1">
                  <c:v>11572</c:v>
                </c:pt>
                <c:pt idx="2">
                  <c:v>10333</c:v>
                </c:pt>
                <c:pt idx="3">
                  <c:v>9222</c:v>
                </c:pt>
                <c:pt idx="4">
                  <c:v>9135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1A-4286-BE6F-092FBAEEBB05}"/>
            </c:ext>
          </c:extLst>
        </c:ser>
        <c:ser>
          <c:idx val="7"/>
          <c:order val="7"/>
          <c:tx>
            <c:strRef>
              <c:f>'12月'!$B$9</c:f>
              <c:strCache>
                <c:ptCount val="1"/>
                <c:pt idx="0">
                  <c:v>ボブ</c:v>
                </c:pt>
              </c:strCache>
            </c:strRef>
          </c:tx>
          <c:spPr>
            <a:ln w="38100" cap="rnd">
              <a:solidFill>
                <a:srgbClr val="57811B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'12月'!$C$9:$AG$9</c:f>
              <c:numCache>
                <c:formatCode>_(* #,##0_);_(* \(#,##0\);_(* "-"_);_(@_)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1A-4286-BE6F-092FBAEEBB05}"/>
            </c:ext>
          </c:extLst>
        </c:ser>
        <c:ser>
          <c:idx val="8"/>
          <c:order val="8"/>
          <c:tx>
            <c:strRef>
              <c:f>'12月'!$B$10</c:f>
              <c:strCache>
                <c:ptCount val="1"/>
                <c:pt idx="0">
                  <c:v>ハッチ</c:v>
                </c:pt>
              </c:strCache>
            </c:strRef>
          </c:tx>
          <c:spPr>
            <a:ln w="38100" cap="rnd">
              <a:solidFill>
                <a:srgbClr val="B146C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'12月'!$C$10:$AG$10</c:f>
              <c:numCache>
                <c:formatCode>_(* #,##0_);_(* \(#,##0\);_(* "-"_);_(@_)</c:formatCode>
                <c:ptCount val="31"/>
                <c:pt idx="0">
                  <c:v>2463</c:v>
                </c:pt>
                <c:pt idx="1">
                  <c:v>2463</c:v>
                </c:pt>
                <c:pt idx="2">
                  <c:v>2463</c:v>
                </c:pt>
                <c:pt idx="3">
                  <c:v>2463</c:v>
                </c:pt>
                <c:pt idx="4">
                  <c:v>2463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1A-4286-BE6F-092FBAEEBB05}"/>
            </c:ext>
          </c:extLst>
        </c:ser>
        <c:ser>
          <c:idx val="9"/>
          <c:order val="9"/>
          <c:tx>
            <c:strRef>
              <c:f>'12月'!$B$11</c:f>
              <c:strCache>
                <c:ptCount val="1"/>
                <c:pt idx="0">
                  <c:v>サキ</c:v>
                </c:pt>
              </c:strCache>
            </c:strRef>
          </c:tx>
          <c:spPr>
            <a:ln w="38100" cap="rnd">
              <a:solidFill>
                <a:srgbClr val="AE8C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'12月'!$C$11:$AG$11</c:f>
              <c:numCache>
                <c:formatCode>_(* #,##0_);_(* \(#,##0\);_(* "-"_);_(@_)</c:formatCode>
                <c:ptCount val="31"/>
                <c:pt idx="0">
                  <c:v>2020</c:v>
                </c:pt>
                <c:pt idx="1">
                  <c:v>1683</c:v>
                </c:pt>
                <c:pt idx="2">
                  <c:v>1783</c:v>
                </c:pt>
                <c:pt idx="3">
                  <c:v>1745</c:v>
                </c:pt>
                <c:pt idx="4">
                  <c:v>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1A-4286-BE6F-092FBAEEBB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24022024"/>
        <c:axId val="1624032264"/>
      </c:lineChart>
      <c:catAx>
        <c:axId val="1624022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4032264"/>
        <c:crosses val="autoZero"/>
        <c:auto val="1"/>
        <c:lblAlgn val="ctr"/>
        <c:lblOffset val="100"/>
        <c:noMultiLvlLbl val="0"/>
      </c:catAx>
      <c:valAx>
        <c:axId val="162403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402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09091667154342"/>
          <c:y val="0.17747285020407241"/>
          <c:w val="6.3805035512504257E-2"/>
          <c:h val="0.75595488740867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11</xdr:row>
      <xdr:rowOff>190499</xdr:rowOff>
    </xdr:from>
    <xdr:to>
      <xdr:col>33</xdr:col>
      <xdr:colOff>11206</xdr:colOff>
      <xdr:row>55</xdr:row>
      <xdr:rowOff>89647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6EDB51-5995-4A6D-9A4B-0DC639D3A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11</xdr:row>
      <xdr:rowOff>190499</xdr:rowOff>
    </xdr:from>
    <xdr:to>
      <xdr:col>34</xdr:col>
      <xdr:colOff>11206</xdr:colOff>
      <xdr:row>55</xdr:row>
      <xdr:rowOff>89647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C80683-B08D-4AEA-A7A9-49BF833D9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DE4CF-3F15-4B4D-9262-371BF8696974}" name="テーブル1" displayName="テーブル1" ref="A1:X11" totalsRowShown="0" headerRowDxfId="27" headerRowBorderDxfId="26" tableBorderDxfId="25" totalsRowBorderDxfId="24">
  <autoFilter ref="A1:X11" xr:uid="{27FDE4CF-3F15-4B4D-9262-371BF8696974}"/>
  <tableColumns count="24">
    <tableColumn id="2" xr3:uid="{25DCB28C-F7B2-486E-BA6F-A869B0ADEF42}" name="登録名" dataDxfId="23"/>
    <tableColumn id="3" xr3:uid="{79985402-3A59-4B07-AD83-9C138A405F47}" name="3月2024" dataDxfId="22"/>
    <tableColumn id="4" xr3:uid="{3420B322-AA0D-4E60-A193-27F5E0159356}" name="4月2024" dataDxfId="21"/>
    <tableColumn id="5" xr3:uid="{37386506-C779-4967-AC3C-192FF711C317}" name="5月2024" dataDxfId="20"/>
    <tableColumn id="6" xr3:uid="{222E9FB4-91E4-45C7-989A-07A96CAB0042}" name="6月2024" dataDxfId="19"/>
    <tableColumn id="7" xr3:uid="{343BD9F3-C103-45AF-8D84-EC3D771AF2F1}" name="7月2024" dataDxfId="18"/>
    <tableColumn id="8" xr3:uid="{F983759E-2472-477D-91DE-D83DC771271F}" name="8月2024" dataDxfId="17"/>
    <tableColumn id="9" xr3:uid="{6DBBA4F9-1F2B-4DD0-89B8-DC6CB35E4481}" name="9月2024" dataDxfId="16"/>
    <tableColumn id="10" xr3:uid="{C5FD2EA3-501B-48A0-8D16-9B7865BBF1C8}" name="10月2024" dataDxfId="15"/>
    <tableColumn id="11" xr3:uid="{7D02A6A5-8560-49AB-A098-10F7746D5E50}" name="11月2024" dataDxfId="14"/>
    <tableColumn id="12" xr3:uid="{87A5C18A-B0B3-45E7-B82D-894F2769698F}" name="12月2024" dataDxfId="13"/>
    <tableColumn id="14" xr3:uid="{6076BA28-AC61-4F0A-919C-8C94130E47DF}" name="1月2025" dataDxfId="12"/>
    <tableColumn id="15" xr3:uid="{FCC98071-15AE-4B82-B59D-684E5F64CC11}" name="2月2025" dataDxfId="11"/>
    <tableColumn id="18" xr3:uid="{1F340523-EBA4-452F-9A5A-E71970B3FD37}" name="3月2025" dataDxfId="10"/>
    <tableColumn id="22" xr3:uid="{02C89677-35B9-484D-8980-6D3B87F84AF8}" name="4月2025" dataDxfId="9"/>
    <tableColumn id="16" xr3:uid="{FBB6CC57-8050-409F-9565-1EAB5EB3565C}" name="5月2025" dataDxfId="8"/>
    <tableColumn id="19" xr3:uid="{54D78EE1-3DAA-4112-88DB-073669BE9D1F}" name="6月2025" dataDxfId="7"/>
    <tableColumn id="20" xr3:uid="{1B2596FC-7115-49EE-9D4B-D47210AF55B0}" name="7月2025" dataDxfId="6"/>
    <tableColumn id="21" xr3:uid="{F978D13E-7061-452E-8A3B-658EF43AC374}" name="8月2025" dataDxfId="5"/>
    <tableColumn id="23" xr3:uid="{0FBF5324-D91B-4757-90ED-3A9341EBC40E}" name="9月2025" dataDxfId="4"/>
    <tableColumn id="24" xr3:uid="{1EAE1C8C-8269-41E4-A16C-64CE293B6119}" name="10月2025" dataDxfId="3"/>
    <tableColumn id="1" xr3:uid="{41A5BA82-E9EB-4A02-BC31-A048083C5168}" name="11月2025" dataDxfId="2">
      <calculatedColumnFormula>'11月'!AH2</calculatedColumnFormula>
    </tableColumn>
    <tableColumn id="17" xr3:uid="{D1ED2A41-BB84-4C1F-B99E-5BB19E60761C}" name="12月2025" dataDxfId="1"/>
    <tableColumn id="13" xr3:uid="{BD27E65B-A755-4FA1-80D5-778984FD6F28}" name="平均" dataDxfId="0" dataCellStyle="桁区切り">
      <calculatedColumnFormula>AVERAGE(B2:K2)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73BF-8A83-4E52-A412-5058581D1F88}">
  <dimension ref="A1:X11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W11" sqref="W11"/>
    </sheetView>
  </sheetViews>
  <sheetFormatPr defaultRowHeight="18.75" x14ac:dyDescent="0.4"/>
  <cols>
    <col min="1" max="1" width="15.375" style="1" customWidth="1"/>
    <col min="2" max="2" width="9.125" style="1" bestFit="1" customWidth="1"/>
    <col min="3" max="3" width="9.875" style="1" bestFit="1" customWidth="1"/>
    <col min="4" max="8" width="9.125" style="1" bestFit="1" customWidth="1"/>
    <col min="9" max="11" width="9.375" style="1" bestFit="1" customWidth="1"/>
    <col min="12" max="23" width="9.375" style="1" customWidth="1"/>
    <col min="24" max="24" width="9.125" style="1" bestFit="1" customWidth="1"/>
    <col min="25" max="16384" width="9" style="1"/>
  </cols>
  <sheetData>
    <row r="1" spans="1:24" ht="37.5" x14ac:dyDescent="0.4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1" t="s">
        <v>27</v>
      </c>
      <c r="I1" s="11" t="s">
        <v>28</v>
      </c>
      <c r="J1" s="11" t="s">
        <v>29</v>
      </c>
      <c r="K1" s="11" t="s">
        <v>21</v>
      </c>
      <c r="L1" s="1" t="s">
        <v>3</v>
      </c>
      <c r="M1" s="1" t="s">
        <v>4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1" t="s">
        <v>36</v>
      </c>
      <c r="U1" s="11" t="s">
        <v>37</v>
      </c>
      <c r="V1" s="11" t="s">
        <v>38</v>
      </c>
      <c r="W1" s="11" t="s">
        <v>20</v>
      </c>
      <c r="X1" s="1" t="s">
        <v>5</v>
      </c>
    </row>
    <row r="2" spans="1:24" x14ac:dyDescent="0.4">
      <c r="A2" s="1" t="s">
        <v>6</v>
      </c>
      <c r="E2" s="1">
        <v>8616</v>
      </c>
      <c r="F2" s="1">
        <v>8744</v>
      </c>
      <c r="G2" s="1">
        <v>9880</v>
      </c>
      <c r="H2" s="1">
        <v>3991</v>
      </c>
      <c r="I2" s="3">
        <v>4830</v>
      </c>
      <c r="J2" s="1">
        <v>4445</v>
      </c>
      <c r="K2" s="1">
        <v>4656</v>
      </c>
      <c r="L2" s="1">
        <v>2493</v>
      </c>
      <c r="M2" s="1">
        <v>3931</v>
      </c>
      <c r="N2" s="1">
        <v>3524</v>
      </c>
      <c r="O2" s="1">
        <v>4182</v>
      </c>
      <c r="P2" s="1">
        <v>4438</v>
      </c>
      <c r="Q2" s="1">
        <v>6030</v>
      </c>
      <c r="R2" s="1">
        <v>7175</v>
      </c>
      <c r="S2" s="1">
        <v>3801</v>
      </c>
      <c r="T2" s="1">
        <v>3437</v>
      </c>
      <c r="U2" s="1">
        <v>5720</v>
      </c>
      <c r="V2" s="19">
        <f>'11月'!AH8</f>
        <v>5055</v>
      </c>
      <c r="W2" s="19">
        <f>'12月'!AH8</f>
        <v>9135</v>
      </c>
      <c r="X2" s="2">
        <f>AVERAGE(B2:W2)</f>
        <v>5478.0526315789475</v>
      </c>
    </row>
    <row r="3" spans="1:24" x14ac:dyDescent="0.4">
      <c r="A3" s="1" t="s">
        <v>7</v>
      </c>
      <c r="I3" s="10"/>
      <c r="K3" s="1">
        <v>3735</v>
      </c>
      <c r="L3" s="1">
        <v>3695</v>
      </c>
      <c r="M3" s="1">
        <v>2354</v>
      </c>
      <c r="N3" s="1">
        <v>2433</v>
      </c>
      <c r="O3" s="1">
        <v>1395</v>
      </c>
      <c r="V3" s="19">
        <f>'11月'!AH9</f>
        <v>4128</v>
      </c>
      <c r="W3" s="19">
        <f>'12月'!AH9</f>
        <v>0</v>
      </c>
      <c r="X3" s="2">
        <f t="shared" ref="X3:X10" si="0">AVERAGE(B3:W3)</f>
        <v>2534.2857142857142</v>
      </c>
    </row>
    <row r="4" spans="1:24" x14ac:dyDescent="0.4">
      <c r="A4" s="1" t="s">
        <v>8</v>
      </c>
      <c r="B4" s="1">
        <v>8459</v>
      </c>
      <c r="C4" s="1">
        <v>8744</v>
      </c>
      <c r="D4" s="1">
        <v>8766</v>
      </c>
      <c r="E4" s="1">
        <v>6662</v>
      </c>
      <c r="F4" s="1">
        <v>6085</v>
      </c>
      <c r="G4" s="1">
        <v>4125</v>
      </c>
      <c r="H4" s="1">
        <v>5246</v>
      </c>
      <c r="I4" s="4">
        <v>9263</v>
      </c>
      <c r="J4" s="1">
        <v>9257</v>
      </c>
      <c r="K4" s="1">
        <v>7598</v>
      </c>
      <c r="L4" s="1">
        <v>5779</v>
      </c>
      <c r="M4" s="1">
        <v>6554</v>
      </c>
      <c r="N4" s="1">
        <v>6094</v>
      </c>
      <c r="O4" s="1">
        <v>6105</v>
      </c>
      <c r="P4" s="1">
        <v>6574</v>
      </c>
      <c r="Q4" s="1">
        <v>5653</v>
      </c>
      <c r="R4" s="1">
        <v>4517</v>
      </c>
      <c r="S4" s="1">
        <v>4280</v>
      </c>
      <c r="T4" s="1">
        <v>7135</v>
      </c>
      <c r="U4" s="1">
        <v>10087</v>
      </c>
      <c r="V4" s="19">
        <f>'11月'!AH4</f>
        <v>9382</v>
      </c>
      <c r="W4" s="19">
        <f>'12月'!AH4</f>
        <v>9106</v>
      </c>
      <c r="X4" s="2">
        <f t="shared" si="0"/>
        <v>7066.863636363636</v>
      </c>
    </row>
    <row r="5" spans="1:24" x14ac:dyDescent="0.4">
      <c r="A5" s="1" t="s">
        <v>0</v>
      </c>
      <c r="B5" s="1">
        <v>8220</v>
      </c>
      <c r="C5" s="1">
        <v>6491</v>
      </c>
      <c r="D5" s="1">
        <v>7333</v>
      </c>
      <c r="E5" s="1">
        <v>7354</v>
      </c>
      <c r="F5" s="1">
        <v>7031</v>
      </c>
      <c r="G5" s="1">
        <v>7166</v>
      </c>
      <c r="H5" s="1">
        <v>6984</v>
      </c>
      <c r="I5" s="5">
        <v>5582</v>
      </c>
      <c r="J5" s="1">
        <v>5767</v>
      </c>
      <c r="K5" s="1">
        <v>6684</v>
      </c>
      <c r="L5" s="1">
        <v>7267</v>
      </c>
      <c r="M5" s="1">
        <v>7601</v>
      </c>
      <c r="N5" s="1">
        <v>7089</v>
      </c>
      <c r="O5" s="1">
        <v>6683</v>
      </c>
      <c r="P5" s="1">
        <v>7228</v>
      </c>
      <c r="Q5" s="1">
        <v>7689</v>
      </c>
      <c r="R5" s="1">
        <v>8608</v>
      </c>
      <c r="S5" s="1">
        <v>8003</v>
      </c>
      <c r="T5" s="1">
        <v>6937</v>
      </c>
      <c r="U5" s="1">
        <v>6622</v>
      </c>
      <c r="V5" s="19">
        <f>'11月'!AH5</f>
        <v>7099</v>
      </c>
      <c r="W5" s="19">
        <f>'12月'!AH5</f>
        <v>5740</v>
      </c>
      <c r="X5" s="2">
        <f t="shared" si="0"/>
        <v>7053.545454545455</v>
      </c>
    </row>
    <row r="6" spans="1:24" x14ac:dyDescent="0.4">
      <c r="A6" s="1" t="s">
        <v>9</v>
      </c>
      <c r="B6" s="1">
        <v>7748</v>
      </c>
      <c r="C6" s="1">
        <v>7783</v>
      </c>
      <c r="D6" s="1">
        <v>7879</v>
      </c>
      <c r="E6" s="1">
        <v>6150</v>
      </c>
      <c r="F6" s="1">
        <v>5039</v>
      </c>
      <c r="G6" s="1">
        <v>6095</v>
      </c>
      <c r="H6" s="1">
        <v>5703</v>
      </c>
      <c r="I6" s="6">
        <v>6739</v>
      </c>
      <c r="J6" s="1">
        <v>5847</v>
      </c>
      <c r="K6" s="1">
        <v>8110</v>
      </c>
      <c r="L6" s="1">
        <v>9278</v>
      </c>
      <c r="M6" s="1">
        <v>10170</v>
      </c>
      <c r="N6" s="1">
        <v>9301</v>
      </c>
      <c r="O6" s="1">
        <v>8121</v>
      </c>
      <c r="P6" s="1">
        <v>6515</v>
      </c>
      <c r="Q6" s="1">
        <v>6322</v>
      </c>
      <c r="R6" s="1">
        <v>5442</v>
      </c>
      <c r="S6" s="1">
        <v>5720</v>
      </c>
      <c r="T6" s="1">
        <v>7986</v>
      </c>
      <c r="U6" s="1">
        <v>8816</v>
      </c>
      <c r="V6" s="19">
        <f>'11月'!AH3</f>
        <v>12137</v>
      </c>
      <c r="W6" s="19">
        <f>'12月'!AH3</f>
        <v>15391</v>
      </c>
      <c r="X6" s="2">
        <f t="shared" si="0"/>
        <v>7831.454545454545</v>
      </c>
    </row>
    <row r="7" spans="1:24" x14ac:dyDescent="0.4">
      <c r="A7" s="1" t="s">
        <v>10</v>
      </c>
      <c r="B7" s="1">
        <v>12357</v>
      </c>
      <c r="C7" s="1">
        <v>11359</v>
      </c>
      <c r="D7" s="1">
        <v>9814</v>
      </c>
      <c r="E7" s="1">
        <v>9142</v>
      </c>
      <c r="F7" s="1">
        <v>8897</v>
      </c>
      <c r="G7" s="1">
        <v>14337</v>
      </c>
      <c r="H7" s="1">
        <v>14798</v>
      </c>
      <c r="I7" s="7">
        <v>13002</v>
      </c>
      <c r="J7" s="1">
        <v>14949</v>
      </c>
      <c r="K7" s="1">
        <v>17851</v>
      </c>
      <c r="L7" s="1">
        <v>14706</v>
      </c>
      <c r="M7" s="1">
        <v>15984</v>
      </c>
      <c r="N7" s="1">
        <v>13375</v>
      </c>
      <c r="O7" s="1">
        <v>12497</v>
      </c>
      <c r="P7" s="1">
        <v>11409</v>
      </c>
      <c r="Q7" s="1">
        <v>14902</v>
      </c>
      <c r="R7" s="1">
        <v>14662</v>
      </c>
      <c r="S7" s="1">
        <v>15267</v>
      </c>
      <c r="T7" s="1">
        <v>11437</v>
      </c>
      <c r="U7" s="1">
        <v>10942</v>
      </c>
      <c r="V7" s="19">
        <f>'11月'!AH2</f>
        <v>13271</v>
      </c>
      <c r="W7" s="19">
        <f>'12月'!AH2</f>
        <v>8790</v>
      </c>
      <c r="X7" s="2">
        <f t="shared" si="0"/>
        <v>12897.636363636364</v>
      </c>
    </row>
    <row r="8" spans="1:24" x14ac:dyDescent="0.4">
      <c r="A8" s="1" t="s">
        <v>11</v>
      </c>
      <c r="B8" s="1">
        <v>1835</v>
      </c>
      <c r="F8" s="1">
        <v>1366</v>
      </c>
      <c r="I8" s="8">
        <v>6690</v>
      </c>
      <c r="J8" s="1">
        <v>3689</v>
      </c>
      <c r="K8" s="1">
        <v>2061</v>
      </c>
      <c r="M8" s="1">
        <v>2162</v>
      </c>
      <c r="N8" s="1">
        <v>1556</v>
      </c>
      <c r="O8" s="1">
        <v>3108</v>
      </c>
      <c r="P8" s="1">
        <v>6217</v>
      </c>
      <c r="R8" s="1">
        <v>1011</v>
      </c>
      <c r="T8" s="1">
        <v>1706</v>
      </c>
      <c r="U8" s="1">
        <v>2417</v>
      </c>
      <c r="V8" s="19">
        <f>'11月'!AH10</f>
        <v>2412</v>
      </c>
      <c r="W8" s="19">
        <f>'12月'!AH10</f>
        <v>2463</v>
      </c>
      <c r="X8" s="2">
        <f t="shared" si="0"/>
        <v>2763.7857142857142</v>
      </c>
    </row>
    <row r="9" spans="1:24" x14ac:dyDescent="0.4">
      <c r="A9" s="1" t="s">
        <v>12</v>
      </c>
      <c r="B9" s="1">
        <v>9394</v>
      </c>
      <c r="C9" s="1">
        <v>7085</v>
      </c>
      <c r="D9" s="1">
        <v>6781</v>
      </c>
      <c r="E9" s="1">
        <v>4695</v>
      </c>
      <c r="F9" s="1">
        <v>3065</v>
      </c>
      <c r="G9" s="1">
        <v>3107</v>
      </c>
      <c r="H9" s="1">
        <v>1870</v>
      </c>
      <c r="I9" s="9">
        <v>2130</v>
      </c>
      <c r="J9" s="1">
        <v>7594</v>
      </c>
      <c r="K9" s="1">
        <v>8709</v>
      </c>
      <c r="L9" s="1">
        <v>7983</v>
      </c>
      <c r="M9" s="1">
        <v>6500</v>
      </c>
      <c r="N9" s="1">
        <v>8289</v>
      </c>
      <c r="O9" s="1">
        <v>10147</v>
      </c>
      <c r="P9" s="1">
        <v>9562</v>
      </c>
      <c r="Q9" s="1">
        <v>8256</v>
      </c>
      <c r="R9" s="1">
        <v>6604</v>
      </c>
      <c r="S9" s="1">
        <v>8701</v>
      </c>
      <c r="T9" s="1">
        <v>6285</v>
      </c>
      <c r="U9" s="1">
        <v>5676</v>
      </c>
      <c r="V9" s="19">
        <f>'11月'!AH7</f>
        <v>6129</v>
      </c>
      <c r="W9" s="19">
        <f>'12月'!AH7</f>
        <v>6976</v>
      </c>
      <c r="X9" s="2">
        <f t="shared" si="0"/>
        <v>6615.363636363636</v>
      </c>
    </row>
    <row r="10" spans="1:24" x14ac:dyDescent="0.4">
      <c r="A10" s="1" t="s">
        <v>13</v>
      </c>
      <c r="J10" s="1">
        <v>2173</v>
      </c>
      <c r="K10" s="1">
        <v>2490</v>
      </c>
      <c r="L10" s="1">
        <v>1819</v>
      </c>
      <c r="M10" s="1">
        <v>1847</v>
      </c>
      <c r="N10" s="1">
        <v>2042</v>
      </c>
      <c r="O10" s="1">
        <v>2250</v>
      </c>
      <c r="P10" s="1">
        <v>2404</v>
      </c>
      <c r="Q10" s="1">
        <v>2238</v>
      </c>
      <c r="R10" s="1">
        <v>1999</v>
      </c>
      <c r="S10" s="1">
        <v>2001</v>
      </c>
      <c r="T10" s="1">
        <v>2094</v>
      </c>
      <c r="U10" s="1">
        <v>2365</v>
      </c>
      <c r="V10" s="19">
        <f>'11月'!AH11</f>
        <v>2130</v>
      </c>
      <c r="W10" s="19">
        <f>'12月'!AH11</f>
        <v>1888</v>
      </c>
      <c r="X10" s="2">
        <f t="shared" si="0"/>
        <v>2124.2857142857142</v>
      </c>
    </row>
    <row r="11" spans="1:24" x14ac:dyDescent="0.4">
      <c r="A11" s="1" t="s">
        <v>14</v>
      </c>
      <c r="B11" s="2">
        <f t="shared" ref="B11:N11" si="1">IFERROR(SUBTOTAL(101,B2:B10),"")</f>
        <v>8002.166666666667</v>
      </c>
      <c r="C11" s="2">
        <f t="shared" si="1"/>
        <v>8292.4</v>
      </c>
      <c r="D11" s="2">
        <f t="shared" si="1"/>
        <v>8114.6</v>
      </c>
      <c r="E11" s="2">
        <f t="shared" si="1"/>
        <v>7103.166666666667</v>
      </c>
      <c r="F11" s="2">
        <f t="shared" si="1"/>
        <v>5746.7142857142853</v>
      </c>
      <c r="G11" s="2">
        <f t="shared" si="1"/>
        <v>7451.666666666667</v>
      </c>
      <c r="H11" s="2">
        <f t="shared" si="1"/>
        <v>6432</v>
      </c>
      <c r="I11" s="2">
        <f t="shared" si="1"/>
        <v>6890.8571428571431</v>
      </c>
      <c r="J11" s="2">
        <f t="shared" si="1"/>
        <v>6715.125</v>
      </c>
      <c r="K11" s="2">
        <f t="shared" si="1"/>
        <v>6877.1111111111113</v>
      </c>
      <c r="L11" s="2">
        <f t="shared" si="1"/>
        <v>6627.5</v>
      </c>
      <c r="M11" s="2">
        <f t="shared" si="1"/>
        <v>6344.7777777777774</v>
      </c>
      <c r="N11" s="2">
        <f t="shared" si="1"/>
        <v>5967</v>
      </c>
      <c r="O11" s="2">
        <f t="shared" ref="O11:W11" si="2">IFERROR(SUBTOTAL(101,O2:O10),"")</f>
        <v>6054.2222222222226</v>
      </c>
      <c r="P11" s="2">
        <f t="shared" si="2"/>
        <v>6793.375</v>
      </c>
      <c r="Q11" s="2"/>
      <c r="R11" s="2">
        <f t="shared" si="2"/>
        <v>6252.25</v>
      </c>
      <c r="S11" s="2">
        <f t="shared" si="2"/>
        <v>6824.7142857142853</v>
      </c>
      <c r="T11" s="2">
        <f t="shared" si="2"/>
        <v>5877.125</v>
      </c>
      <c r="U11" s="2">
        <f t="shared" si="2"/>
        <v>6580.625</v>
      </c>
      <c r="V11" s="2">
        <f t="shared" si="2"/>
        <v>6860.333333333333</v>
      </c>
      <c r="W11" s="2">
        <f t="shared" si="2"/>
        <v>6609.8888888888887</v>
      </c>
      <c r="X11" s="2">
        <f>AVERAGE(B11:W11)</f>
        <v>6781.7913832199547</v>
      </c>
    </row>
  </sheetData>
  <phoneticPr fontId="2"/>
  <conditionalFormatting sqref="B2:X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98AC-6CD9-4697-B298-810F2402CB4A}">
  <dimension ref="A1:AI15"/>
  <sheetViews>
    <sheetView workbookViewId="0"/>
  </sheetViews>
  <sheetFormatPr defaultRowHeight="18.75" x14ac:dyDescent="0.4"/>
  <cols>
    <col min="1" max="1" width="15.625" bestFit="1" customWidth="1"/>
    <col min="2" max="2" width="14.75" customWidth="1"/>
    <col min="3" max="3" width="14.125" bestFit="1" customWidth="1"/>
    <col min="4" max="33" width="8.625" customWidth="1"/>
    <col min="34" max="34" width="8.375" customWidth="1"/>
    <col min="35" max="35" width="8.125" customWidth="1"/>
    <col min="36" max="40" width="3.875" customWidth="1"/>
  </cols>
  <sheetData>
    <row r="1" spans="1:35" x14ac:dyDescent="0.4">
      <c r="A1" t="s">
        <v>19</v>
      </c>
      <c r="B1" t="s">
        <v>15</v>
      </c>
      <c r="C1" t="s">
        <v>16</v>
      </c>
      <c r="D1" s="18">
        <v>45962</v>
      </c>
      <c r="E1" s="18">
        <v>45963</v>
      </c>
      <c r="F1" s="18">
        <v>45964</v>
      </c>
      <c r="G1" s="18">
        <v>45965</v>
      </c>
      <c r="H1" s="18">
        <v>45966</v>
      </c>
      <c r="I1" s="18">
        <v>45967</v>
      </c>
      <c r="J1" s="18">
        <v>45968</v>
      </c>
      <c r="K1" s="18">
        <v>45969</v>
      </c>
      <c r="L1" s="18">
        <v>45970</v>
      </c>
      <c r="M1" s="18">
        <v>45971</v>
      </c>
      <c r="N1" s="18">
        <v>45972</v>
      </c>
      <c r="O1" s="18">
        <v>45973</v>
      </c>
      <c r="P1" s="18">
        <v>45974</v>
      </c>
      <c r="Q1" s="18">
        <v>45975</v>
      </c>
      <c r="R1" s="18">
        <v>45976</v>
      </c>
      <c r="S1" s="18">
        <v>45977</v>
      </c>
      <c r="T1" s="18">
        <v>45978</v>
      </c>
      <c r="U1" s="18">
        <v>45979</v>
      </c>
      <c r="V1" s="18">
        <v>45980</v>
      </c>
      <c r="W1" s="18">
        <v>45981</v>
      </c>
      <c r="X1" s="18">
        <v>45982</v>
      </c>
      <c r="Y1" s="18">
        <v>45983</v>
      </c>
      <c r="Z1" s="18">
        <v>45984</v>
      </c>
      <c r="AA1" s="18">
        <v>45985</v>
      </c>
      <c r="AB1" s="18">
        <v>45986</v>
      </c>
      <c r="AC1" s="18">
        <v>45987</v>
      </c>
      <c r="AD1" s="18">
        <v>45988</v>
      </c>
      <c r="AE1" s="18">
        <v>45989</v>
      </c>
      <c r="AF1" s="18">
        <v>45990</v>
      </c>
      <c r="AG1" s="18">
        <v>45991</v>
      </c>
      <c r="AH1" t="s">
        <v>18</v>
      </c>
    </row>
    <row r="2" spans="1:35" x14ac:dyDescent="0.4">
      <c r="A2" s="15" t="s">
        <v>40</v>
      </c>
      <c r="B2" s="12" t="s">
        <v>10</v>
      </c>
      <c r="C2" s="13">
        <v>11814</v>
      </c>
      <c r="D2" s="13">
        <v>18257</v>
      </c>
      <c r="E2" s="13">
        <v>16943</v>
      </c>
      <c r="F2" s="13">
        <v>16058</v>
      </c>
      <c r="G2" s="13">
        <v>14825</v>
      </c>
      <c r="H2" s="13">
        <v>14359</v>
      </c>
      <c r="I2" s="13">
        <f t="shared" ref="I2:I11" si="0">H2</f>
        <v>14359</v>
      </c>
      <c r="J2" s="13">
        <v>14767</v>
      </c>
      <c r="K2" s="13">
        <v>13714</v>
      </c>
      <c r="L2" s="13">
        <v>14713</v>
      </c>
      <c r="M2" s="13">
        <v>14407</v>
      </c>
      <c r="N2" s="13">
        <v>14224</v>
      </c>
      <c r="O2" s="13">
        <v>13899</v>
      </c>
      <c r="P2" s="13">
        <f t="shared" ref="P2:S5" si="1">O2</f>
        <v>13899</v>
      </c>
      <c r="Q2" s="13">
        <f t="shared" si="1"/>
        <v>13899</v>
      </c>
      <c r="R2" s="13">
        <f t="shared" si="1"/>
        <v>13899</v>
      </c>
      <c r="S2" s="13">
        <f t="shared" si="1"/>
        <v>13899</v>
      </c>
      <c r="T2" s="13">
        <v>13549</v>
      </c>
      <c r="U2" s="13">
        <f>T2</f>
        <v>13549</v>
      </c>
      <c r="V2" s="13">
        <v>13220</v>
      </c>
      <c r="W2" s="13">
        <v>13215</v>
      </c>
      <c r="X2" s="13">
        <f t="shared" ref="X2:Y5" si="2">W2</f>
        <v>13215</v>
      </c>
      <c r="Y2" s="13">
        <f t="shared" si="2"/>
        <v>13215</v>
      </c>
      <c r="Z2" s="13">
        <v>13917</v>
      </c>
      <c r="AA2" s="13">
        <f t="shared" ref="AA2:AB5" si="3">Z2</f>
        <v>13917</v>
      </c>
      <c r="AB2" s="13">
        <f t="shared" si="3"/>
        <v>13917</v>
      </c>
      <c r="AC2" s="13">
        <v>12938</v>
      </c>
      <c r="AD2" s="13">
        <f>AC2</f>
        <v>12938</v>
      </c>
      <c r="AE2" s="13">
        <v>12861</v>
      </c>
      <c r="AF2" s="13">
        <v>13365</v>
      </c>
      <c r="AG2" s="14">
        <v>13271</v>
      </c>
      <c r="AH2" s="17" cm="1">
        <f t="array" ref="AH2">LOOKUP(2,1/(ISNUMBER(C2:AG2)),C2:AG2)</f>
        <v>13271</v>
      </c>
    </row>
    <row r="3" spans="1:35" x14ac:dyDescent="0.4">
      <c r="A3" s="16" t="s">
        <v>39</v>
      </c>
      <c r="B3" s="20" t="s">
        <v>9</v>
      </c>
      <c r="C3" s="13">
        <v>16931</v>
      </c>
      <c r="D3" s="13">
        <v>12495</v>
      </c>
      <c r="E3" s="13">
        <v>15490</v>
      </c>
      <c r="F3" s="13">
        <v>13468</v>
      </c>
      <c r="G3" s="13">
        <v>14517</v>
      </c>
      <c r="H3" s="13">
        <v>13999</v>
      </c>
      <c r="I3" s="13">
        <f t="shared" si="0"/>
        <v>13999</v>
      </c>
      <c r="J3" s="13">
        <v>12400</v>
      </c>
      <c r="K3" s="13">
        <v>11935</v>
      </c>
      <c r="L3" s="13">
        <v>12777</v>
      </c>
      <c r="M3" s="13">
        <v>12815</v>
      </c>
      <c r="N3" s="13">
        <v>13404</v>
      </c>
      <c r="O3" s="13">
        <v>12940</v>
      </c>
      <c r="P3" s="13">
        <f t="shared" si="1"/>
        <v>12940</v>
      </c>
      <c r="Q3" s="13">
        <f t="shared" si="1"/>
        <v>12940</v>
      </c>
      <c r="R3" s="13">
        <f t="shared" si="1"/>
        <v>12940</v>
      </c>
      <c r="S3" s="13">
        <f t="shared" si="1"/>
        <v>12940</v>
      </c>
      <c r="T3" s="13">
        <v>12256</v>
      </c>
      <c r="U3" s="13">
        <f>T3</f>
        <v>12256</v>
      </c>
      <c r="V3" s="13">
        <v>11604</v>
      </c>
      <c r="W3" s="13">
        <v>11848</v>
      </c>
      <c r="X3" s="13">
        <f t="shared" si="2"/>
        <v>11848</v>
      </c>
      <c r="Y3" s="13">
        <f t="shared" si="2"/>
        <v>11848</v>
      </c>
      <c r="Z3" s="13">
        <v>11959</v>
      </c>
      <c r="AA3" s="13">
        <f t="shared" si="3"/>
        <v>11959</v>
      </c>
      <c r="AB3" s="13">
        <f t="shared" si="3"/>
        <v>11959</v>
      </c>
      <c r="AC3" s="13">
        <v>11994</v>
      </c>
      <c r="AD3" s="13">
        <f>AC3</f>
        <v>11994</v>
      </c>
      <c r="AE3" s="13">
        <v>12042</v>
      </c>
      <c r="AF3" s="13">
        <v>12073</v>
      </c>
      <c r="AG3" s="14">
        <v>12137</v>
      </c>
      <c r="AH3" s="17" cm="1">
        <f t="array" ref="AH3">LOOKUP(2,1/(ISNUMBER(C3:AG3)),C3:AG3)</f>
        <v>12137</v>
      </c>
    </row>
    <row r="4" spans="1:35" x14ac:dyDescent="0.4">
      <c r="A4" s="16" t="s">
        <v>39</v>
      </c>
      <c r="B4" s="20" t="s">
        <v>8</v>
      </c>
      <c r="C4" s="13">
        <v>10325</v>
      </c>
      <c r="D4" s="13">
        <v>10604</v>
      </c>
      <c r="E4" s="13">
        <v>8690</v>
      </c>
      <c r="F4" s="13">
        <v>8515</v>
      </c>
      <c r="G4" s="13">
        <v>9132</v>
      </c>
      <c r="H4" s="13">
        <v>9749</v>
      </c>
      <c r="I4" s="13">
        <f t="shared" si="0"/>
        <v>9749</v>
      </c>
      <c r="J4" s="13">
        <v>10442</v>
      </c>
      <c r="K4" s="13">
        <v>9566</v>
      </c>
      <c r="L4" s="13">
        <v>10253</v>
      </c>
      <c r="M4" s="13">
        <v>10418</v>
      </c>
      <c r="N4" s="13">
        <v>10573</v>
      </c>
      <c r="O4" s="13">
        <v>10639</v>
      </c>
      <c r="P4" s="13">
        <f t="shared" si="1"/>
        <v>10639</v>
      </c>
      <c r="Q4" s="13">
        <f t="shared" si="1"/>
        <v>10639</v>
      </c>
      <c r="R4" s="13">
        <f t="shared" si="1"/>
        <v>10639</v>
      </c>
      <c r="S4" s="13">
        <f t="shared" si="1"/>
        <v>10639</v>
      </c>
      <c r="T4" s="13">
        <v>10037</v>
      </c>
      <c r="U4" s="13">
        <f>T4</f>
        <v>10037</v>
      </c>
      <c r="V4" s="13">
        <v>10265</v>
      </c>
      <c r="W4" s="13">
        <v>10554</v>
      </c>
      <c r="X4" s="13">
        <f t="shared" si="2"/>
        <v>10554</v>
      </c>
      <c r="Y4" s="13">
        <f t="shared" si="2"/>
        <v>10554</v>
      </c>
      <c r="Z4" s="13">
        <v>10116</v>
      </c>
      <c r="AA4" s="13">
        <f t="shared" si="3"/>
        <v>10116</v>
      </c>
      <c r="AB4" s="13">
        <f t="shared" si="3"/>
        <v>10116</v>
      </c>
      <c r="AC4" s="13">
        <v>9657</v>
      </c>
      <c r="AD4" s="13">
        <f>AC4</f>
        <v>9657</v>
      </c>
      <c r="AE4" s="13">
        <v>9446</v>
      </c>
      <c r="AF4" s="13">
        <v>9405</v>
      </c>
      <c r="AG4" s="14">
        <v>9382</v>
      </c>
      <c r="AH4" s="17" cm="1">
        <f t="array" ref="AH4">LOOKUP(2,1/(ISNUMBER(C4:AG4)),C4:AG4)</f>
        <v>9382</v>
      </c>
    </row>
    <row r="5" spans="1:35" x14ac:dyDescent="0.4">
      <c r="A5" s="15" t="s">
        <v>40</v>
      </c>
      <c r="B5" s="12" t="s">
        <v>0</v>
      </c>
      <c r="C5" s="13">
        <v>11460</v>
      </c>
      <c r="D5" s="13">
        <v>9617</v>
      </c>
      <c r="E5" s="13">
        <v>10117</v>
      </c>
      <c r="F5" s="13">
        <v>8054</v>
      </c>
      <c r="G5" s="13">
        <v>8315</v>
      </c>
      <c r="H5" s="13">
        <v>7363</v>
      </c>
      <c r="I5" s="13">
        <f t="shared" si="0"/>
        <v>7363</v>
      </c>
      <c r="J5" s="13">
        <v>6860</v>
      </c>
      <c r="K5" s="13">
        <v>6695</v>
      </c>
      <c r="L5" s="13">
        <v>6814</v>
      </c>
      <c r="M5" s="13">
        <v>6339</v>
      </c>
      <c r="N5" s="13">
        <v>7153</v>
      </c>
      <c r="O5" s="13">
        <v>6714</v>
      </c>
      <c r="P5" s="13">
        <f t="shared" si="1"/>
        <v>6714</v>
      </c>
      <c r="Q5" s="13">
        <f t="shared" si="1"/>
        <v>6714</v>
      </c>
      <c r="R5" s="13">
        <f t="shared" si="1"/>
        <v>6714</v>
      </c>
      <c r="S5" s="13">
        <f t="shared" si="1"/>
        <v>6714</v>
      </c>
      <c r="T5" s="13">
        <v>6164</v>
      </c>
      <c r="U5" s="13">
        <f>T5</f>
        <v>6164</v>
      </c>
      <c r="V5" s="13">
        <v>6323</v>
      </c>
      <c r="W5" s="13">
        <v>6200</v>
      </c>
      <c r="X5" s="13">
        <f t="shared" si="2"/>
        <v>6200</v>
      </c>
      <c r="Y5" s="13">
        <f t="shared" si="2"/>
        <v>6200</v>
      </c>
      <c r="Z5" s="13">
        <v>6847</v>
      </c>
      <c r="AA5" s="13">
        <f t="shared" si="3"/>
        <v>6847</v>
      </c>
      <c r="AB5" s="13">
        <f t="shared" si="3"/>
        <v>6847</v>
      </c>
      <c r="AC5" s="13">
        <v>6702</v>
      </c>
      <c r="AD5" s="13">
        <f>AC5</f>
        <v>6702</v>
      </c>
      <c r="AE5" s="13">
        <v>6678</v>
      </c>
      <c r="AF5" s="13">
        <v>6753</v>
      </c>
      <c r="AG5" s="14">
        <v>7099</v>
      </c>
      <c r="AH5" s="17" cm="1">
        <f t="array" ref="AH5">LOOKUP(2,1/(ISNUMBER(C5:AG5)),C5:AG5)</f>
        <v>7099</v>
      </c>
    </row>
    <row r="6" spans="1:35" x14ac:dyDescent="0.4">
      <c r="A6" s="15" t="s">
        <v>40</v>
      </c>
      <c r="B6" s="12" t="s">
        <v>17</v>
      </c>
      <c r="C6" s="13">
        <v>0</v>
      </c>
      <c r="D6" s="13"/>
      <c r="E6" s="13"/>
      <c r="F6" s="13"/>
      <c r="G6" s="13"/>
      <c r="H6" s="13"/>
      <c r="I6" s="13">
        <f t="shared" si="0"/>
        <v>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>
        <v>6371</v>
      </c>
      <c r="AE6" s="13">
        <v>6371</v>
      </c>
      <c r="AF6" s="13">
        <v>6714</v>
      </c>
      <c r="AG6" s="14">
        <v>6663</v>
      </c>
      <c r="AH6" s="17" cm="1">
        <f t="array" ref="AH6">LOOKUP(2,1/(ISNUMBER(C6:AG6)),C6:AG6)</f>
        <v>6663</v>
      </c>
    </row>
    <row r="7" spans="1:35" x14ac:dyDescent="0.4">
      <c r="A7" s="16" t="s">
        <v>39</v>
      </c>
      <c r="B7" s="20" t="s">
        <v>12</v>
      </c>
      <c r="C7" s="13"/>
      <c r="D7" s="13"/>
      <c r="E7" s="13"/>
      <c r="F7" s="13">
        <v>3606</v>
      </c>
      <c r="G7" s="13">
        <v>5593</v>
      </c>
      <c r="H7" s="13">
        <v>4990</v>
      </c>
      <c r="I7" s="13">
        <f t="shared" si="0"/>
        <v>4990</v>
      </c>
      <c r="J7" s="13">
        <v>5464</v>
      </c>
      <c r="K7" s="13">
        <v>5294</v>
      </c>
      <c r="L7" s="13">
        <v>5810</v>
      </c>
      <c r="M7" s="13">
        <v>5713</v>
      </c>
      <c r="N7" s="13">
        <v>6091</v>
      </c>
      <c r="O7" s="13">
        <v>6187</v>
      </c>
      <c r="P7" s="13">
        <f t="shared" ref="P7:S8" si="4">O7</f>
        <v>6187</v>
      </c>
      <c r="Q7" s="13">
        <f t="shared" si="4"/>
        <v>6187</v>
      </c>
      <c r="R7" s="13">
        <f t="shared" si="4"/>
        <v>6187</v>
      </c>
      <c r="S7" s="13">
        <f t="shared" si="4"/>
        <v>6187</v>
      </c>
      <c r="T7" s="13">
        <v>6145</v>
      </c>
      <c r="U7" s="13">
        <f>T7</f>
        <v>6145</v>
      </c>
      <c r="V7" s="13">
        <v>6484</v>
      </c>
      <c r="W7" s="13">
        <v>6484</v>
      </c>
      <c r="X7" s="13">
        <f t="shared" ref="X7:Y11" si="5">W7</f>
        <v>6484</v>
      </c>
      <c r="Y7" s="13">
        <f t="shared" si="5"/>
        <v>6484</v>
      </c>
      <c r="Z7" s="13">
        <v>6484</v>
      </c>
      <c r="AA7" s="13">
        <f t="shared" ref="AA7:AB11" si="6">Z7</f>
        <v>6484</v>
      </c>
      <c r="AB7" s="13">
        <f t="shared" si="6"/>
        <v>6484</v>
      </c>
      <c r="AC7" s="13">
        <v>6484</v>
      </c>
      <c r="AD7" s="13">
        <f>AC7</f>
        <v>6484</v>
      </c>
      <c r="AE7" s="13">
        <v>6252</v>
      </c>
      <c r="AF7" s="13">
        <v>6129</v>
      </c>
      <c r="AG7" s="14">
        <v>6129</v>
      </c>
      <c r="AH7" s="17" cm="1">
        <f t="array" ref="AH7">LOOKUP(2,1/(ISNUMBER(C7:AG7)),C7:AG7)</f>
        <v>6129</v>
      </c>
    </row>
    <row r="8" spans="1:35" x14ac:dyDescent="0.4">
      <c r="A8" s="15" t="s">
        <v>40</v>
      </c>
      <c r="B8" s="12" t="s">
        <v>6</v>
      </c>
      <c r="C8" s="13"/>
      <c r="D8" s="13"/>
      <c r="E8" s="13"/>
      <c r="F8" s="13">
        <v>2771</v>
      </c>
      <c r="G8" s="13">
        <v>4031</v>
      </c>
      <c r="H8" s="13">
        <v>4592</v>
      </c>
      <c r="I8" s="13">
        <f t="shared" si="0"/>
        <v>4592</v>
      </c>
      <c r="J8" s="13">
        <v>5550</v>
      </c>
      <c r="K8" s="13">
        <v>3739</v>
      </c>
      <c r="L8" s="13">
        <v>4627</v>
      </c>
      <c r="M8" s="13">
        <v>4865</v>
      </c>
      <c r="N8" s="13">
        <v>5200</v>
      </c>
      <c r="O8" s="13">
        <v>5877</v>
      </c>
      <c r="P8" s="13">
        <f t="shared" si="4"/>
        <v>5877</v>
      </c>
      <c r="Q8" s="13">
        <f t="shared" si="4"/>
        <v>5877</v>
      </c>
      <c r="R8" s="13">
        <f t="shared" si="4"/>
        <v>5877</v>
      </c>
      <c r="S8" s="13">
        <f t="shared" si="4"/>
        <v>5877</v>
      </c>
      <c r="T8" s="13">
        <v>5217</v>
      </c>
      <c r="U8" s="13">
        <f>T8</f>
        <v>5217</v>
      </c>
      <c r="V8" s="13">
        <v>5410</v>
      </c>
      <c r="W8" s="13">
        <v>5334</v>
      </c>
      <c r="X8" s="13">
        <f t="shared" si="5"/>
        <v>5334</v>
      </c>
      <c r="Y8" s="13">
        <f t="shared" si="5"/>
        <v>5334</v>
      </c>
      <c r="Z8" s="13">
        <v>5775</v>
      </c>
      <c r="AA8" s="13">
        <f t="shared" si="6"/>
        <v>5775</v>
      </c>
      <c r="AB8" s="13">
        <f t="shared" si="6"/>
        <v>5775</v>
      </c>
      <c r="AC8" s="13">
        <v>5107</v>
      </c>
      <c r="AD8" s="13">
        <f>AC8</f>
        <v>5107</v>
      </c>
      <c r="AE8" s="13">
        <v>5033</v>
      </c>
      <c r="AF8" s="13">
        <v>5055</v>
      </c>
      <c r="AG8" s="14">
        <v>5055</v>
      </c>
      <c r="AH8" s="17" cm="1">
        <f t="array" ref="AH8">LOOKUP(2,1/(ISNUMBER(C8:AG8)),C8:AG8)</f>
        <v>5055</v>
      </c>
    </row>
    <row r="9" spans="1:35" x14ac:dyDescent="0.4">
      <c r="A9" s="15" t="s">
        <v>40</v>
      </c>
      <c r="B9" s="12" t="s">
        <v>7</v>
      </c>
      <c r="C9" s="13">
        <v>0</v>
      </c>
      <c r="D9" s="13"/>
      <c r="E9" s="13"/>
      <c r="F9" s="13"/>
      <c r="G9" s="13"/>
      <c r="H9" s="13"/>
      <c r="I9" s="13">
        <f t="shared" si="0"/>
        <v>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>
        <v>3392</v>
      </c>
      <c r="U9" s="13">
        <f>T9</f>
        <v>3392</v>
      </c>
      <c r="V9" s="13">
        <v>3315</v>
      </c>
      <c r="W9" s="13">
        <v>3394</v>
      </c>
      <c r="X9" s="13">
        <f t="shared" si="5"/>
        <v>3394</v>
      </c>
      <c r="Y9" s="13">
        <f t="shared" si="5"/>
        <v>3394</v>
      </c>
      <c r="Z9" s="13">
        <v>3245</v>
      </c>
      <c r="AA9" s="13">
        <f t="shared" si="6"/>
        <v>3245</v>
      </c>
      <c r="AB9" s="13">
        <f t="shared" si="6"/>
        <v>3245</v>
      </c>
      <c r="AC9" s="13">
        <v>3227</v>
      </c>
      <c r="AD9" s="13">
        <f>AC9</f>
        <v>3227</v>
      </c>
      <c r="AE9" s="13">
        <v>4128</v>
      </c>
      <c r="AF9" s="13">
        <v>4128</v>
      </c>
      <c r="AG9" s="14">
        <v>4128</v>
      </c>
      <c r="AH9" s="17" cm="1">
        <f t="array" ref="AH9">LOOKUP(2,1/(ISNUMBER(C9:AG9)),C9:AG9)</f>
        <v>4128</v>
      </c>
    </row>
    <row r="10" spans="1:35" x14ac:dyDescent="0.4">
      <c r="A10" s="16" t="s">
        <v>39</v>
      </c>
      <c r="B10" s="20" t="s">
        <v>11</v>
      </c>
      <c r="C10" s="13">
        <v>6754</v>
      </c>
      <c r="D10" s="13">
        <v>6754</v>
      </c>
      <c r="E10" s="13">
        <v>4673</v>
      </c>
      <c r="F10" s="13">
        <v>4673</v>
      </c>
      <c r="G10" s="13">
        <v>4673</v>
      </c>
      <c r="H10" s="13">
        <v>4673</v>
      </c>
      <c r="I10" s="13">
        <f t="shared" si="0"/>
        <v>4673</v>
      </c>
      <c r="J10" s="13">
        <v>4673</v>
      </c>
      <c r="K10" s="13">
        <v>4673</v>
      </c>
      <c r="L10" s="13">
        <v>4673</v>
      </c>
      <c r="M10" s="13">
        <v>4673</v>
      </c>
      <c r="N10" s="13">
        <v>4673</v>
      </c>
      <c r="O10" s="13">
        <v>4673</v>
      </c>
      <c r="P10" s="13">
        <f t="shared" ref="P10:S11" si="7">O10</f>
        <v>4673</v>
      </c>
      <c r="Q10" s="13">
        <f t="shared" si="7"/>
        <v>4673</v>
      </c>
      <c r="R10" s="13">
        <f t="shared" si="7"/>
        <v>4673</v>
      </c>
      <c r="S10" s="13">
        <f t="shared" si="7"/>
        <v>4673</v>
      </c>
      <c r="T10" s="13">
        <v>2777</v>
      </c>
      <c r="U10" s="13">
        <f>T10</f>
        <v>2777</v>
      </c>
      <c r="V10" s="13">
        <v>2777</v>
      </c>
      <c r="W10" s="13">
        <v>2777</v>
      </c>
      <c r="X10" s="13">
        <f t="shared" si="5"/>
        <v>2777</v>
      </c>
      <c r="Y10" s="13">
        <f t="shared" si="5"/>
        <v>2777</v>
      </c>
      <c r="Z10" s="13">
        <v>2777</v>
      </c>
      <c r="AA10" s="13">
        <f t="shared" si="6"/>
        <v>2777</v>
      </c>
      <c r="AB10" s="13">
        <f t="shared" si="6"/>
        <v>2777</v>
      </c>
      <c r="AC10" s="13">
        <v>2777</v>
      </c>
      <c r="AD10" s="13">
        <f>AC10</f>
        <v>2777</v>
      </c>
      <c r="AE10" s="13">
        <v>2777</v>
      </c>
      <c r="AF10" s="13">
        <v>2379</v>
      </c>
      <c r="AG10" s="14">
        <v>2412</v>
      </c>
      <c r="AH10" s="17" cm="1">
        <f t="array" ref="AH10">LOOKUP(2,1/(ISNUMBER(C10:AG10)),C10:AG10)</f>
        <v>2412</v>
      </c>
    </row>
    <row r="11" spans="1:35" x14ac:dyDescent="0.4">
      <c r="A11" s="16" t="s">
        <v>39</v>
      </c>
      <c r="B11" s="20" t="s">
        <v>13</v>
      </c>
      <c r="C11" s="13">
        <v>3466</v>
      </c>
      <c r="D11" s="13">
        <v>2448</v>
      </c>
      <c r="E11" s="13">
        <v>1844</v>
      </c>
      <c r="F11" s="13">
        <v>1693</v>
      </c>
      <c r="G11" s="13">
        <v>2054</v>
      </c>
      <c r="H11" s="13">
        <v>1924</v>
      </c>
      <c r="I11" s="13">
        <f t="shared" si="0"/>
        <v>1924</v>
      </c>
      <c r="J11" s="13">
        <v>1767</v>
      </c>
      <c r="K11" s="13">
        <v>1691</v>
      </c>
      <c r="L11" s="13">
        <v>1745</v>
      </c>
      <c r="M11" s="13">
        <v>1738</v>
      </c>
      <c r="N11" s="13">
        <v>1818</v>
      </c>
      <c r="O11" s="13">
        <v>1784</v>
      </c>
      <c r="P11" s="13">
        <f t="shared" si="7"/>
        <v>1784</v>
      </c>
      <c r="Q11" s="13">
        <f t="shared" si="7"/>
        <v>1784</v>
      </c>
      <c r="R11" s="13">
        <f t="shared" si="7"/>
        <v>1784</v>
      </c>
      <c r="S11" s="13">
        <f t="shared" si="7"/>
        <v>1784</v>
      </c>
      <c r="T11" s="13">
        <v>1841</v>
      </c>
      <c r="U11" s="13">
        <f>T11</f>
        <v>1841</v>
      </c>
      <c r="V11" s="13">
        <v>1871</v>
      </c>
      <c r="W11" s="13">
        <v>1826</v>
      </c>
      <c r="X11" s="13">
        <f t="shared" si="5"/>
        <v>1826</v>
      </c>
      <c r="Y11" s="13">
        <f t="shared" si="5"/>
        <v>1826</v>
      </c>
      <c r="Z11" s="13">
        <v>1893</v>
      </c>
      <c r="AA11" s="13">
        <f t="shared" si="6"/>
        <v>1893</v>
      </c>
      <c r="AB11" s="13">
        <f t="shared" si="6"/>
        <v>1893</v>
      </c>
      <c r="AC11" s="13">
        <v>1842</v>
      </c>
      <c r="AD11" s="13">
        <f>AC11</f>
        <v>1842</v>
      </c>
      <c r="AE11" s="13">
        <v>1865</v>
      </c>
      <c r="AF11" s="13">
        <v>1990</v>
      </c>
      <c r="AG11" s="14">
        <v>2130</v>
      </c>
      <c r="AH11" s="17" cm="1">
        <f t="array" ref="AH11">LOOKUP(2,1/(ISNUMBER(C11:AG11)),C11:AG11)</f>
        <v>2130</v>
      </c>
    </row>
    <row r="14" spans="1:35" x14ac:dyDescent="0.4">
      <c r="AI14" s="17"/>
    </row>
    <row r="15" spans="1:35" x14ac:dyDescent="0.4">
      <c r="AI15" s="17"/>
    </row>
  </sheetData>
  <phoneticPr fontId="2"/>
  <conditionalFormatting sqref="AH2:AH1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{6D005FC6-1D23-48C2-8DA7-A71F0A41C2FC}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005FC6-1D23-48C2-8DA7-A71F0A41C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AH2:AH11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C389-DF96-44D4-A685-62AE24C5DF52}">
  <dimension ref="A1:AJ15"/>
  <sheetViews>
    <sheetView tabSelected="1" topLeftCell="A28" workbookViewId="0">
      <selection activeCell="G12" sqref="G12"/>
    </sheetView>
  </sheetViews>
  <sheetFormatPr defaultRowHeight="18.75" x14ac:dyDescent="0.4"/>
  <cols>
    <col min="1" max="1" width="15.625" bestFit="1" customWidth="1"/>
    <col min="2" max="2" width="14.75" customWidth="1"/>
    <col min="3" max="3" width="14.125" bestFit="1" customWidth="1"/>
    <col min="4" max="34" width="8.625" customWidth="1"/>
    <col min="35" max="35" width="8.375" customWidth="1"/>
    <col min="36" max="36" width="8.125" customWidth="1"/>
    <col min="37" max="41" width="3.875" customWidth="1"/>
  </cols>
  <sheetData>
    <row r="1" spans="1:36" x14ac:dyDescent="0.4">
      <c r="A1" t="s">
        <v>19</v>
      </c>
      <c r="B1" t="s">
        <v>15</v>
      </c>
      <c r="C1" s="18">
        <v>45992</v>
      </c>
      <c r="D1" s="18">
        <v>45993</v>
      </c>
      <c r="E1" s="18">
        <v>45994</v>
      </c>
      <c r="F1" s="18">
        <v>45995</v>
      </c>
      <c r="G1" s="18">
        <v>45996</v>
      </c>
      <c r="H1" s="18">
        <v>45997</v>
      </c>
      <c r="I1" s="18">
        <v>45998</v>
      </c>
      <c r="J1" s="18">
        <v>45999</v>
      </c>
      <c r="K1" s="18">
        <v>46000</v>
      </c>
      <c r="L1" s="18">
        <v>46001</v>
      </c>
      <c r="M1" s="18">
        <v>46002</v>
      </c>
      <c r="N1" s="18">
        <v>46003</v>
      </c>
      <c r="O1" s="18">
        <v>46004</v>
      </c>
      <c r="P1" s="18">
        <v>46005</v>
      </c>
      <c r="Q1" s="18">
        <v>46006</v>
      </c>
      <c r="R1" s="18">
        <v>46007</v>
      </c>
      <c r="S1" s="18">
        <v>46008</v>
      </c>
      <c r="T1" s="18">
        <v>46009</v>
      </c>
      <c r="U1" s="18">
        <v>46010</v>
      </c>
      <c r="V1" s="18">
        <v>46011</v>
      </c>
      <c r="W1" s="18">
        <v>46012</v>
      </c>
      <c r="X1" s="18">
        <v>46013</v>
      </c>
      <c r="Y1" s="18">
        <v>46014</v>
      </c>
      <c r="Z1" s="18">
        <v>46015</v>
      </c>
      <c r="AA1" s="18">
        <v>46016</v>
      </c>
      <c r="AB1" s="18">
        <v>46017</v>
      </c>
      <c r="AC1" s="18">
        <v>46018</v>
      </c>
      <c r="AD1" s="18">
        <v>46019</v>
      </c>
      <c r="AE1" s="18">
        <v>46020</v>
      </c>
      <c r="AF1" s="18">
        <v>46021</v>
      </c>
      <c r="AG1" s="18">
        <v>46022</v>
      </c>
      <c r="AH1" t="s">
        <v>18</v>
      </c>
    </row>
    <row r="2" spans="1:36" x14ac:dyDescent="0.4">
      <c r="A2" s="15" t="s">
        <v>40</v>
      </c>
      <c r="B2" s="12" t="s">
        <v>10</v>
      </c>
      <c r="C2" s="13">
        <v>14970</v>
      </c>
      <c r="D2" s="13">
        <v>8611</v>
      </c>
      <c r="E2" s="13">
        <v>7328</v>
      </c>
      <c r="F2" s="13">
        <v>7998</v>
      </c>
      <c r="G2" s="13">
        <v>8790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4"/>
      <c r="AH2" s="17" cm="1">
        <f t="array" ref="AH2">LOOKUP(2,1/(ISNUMBER(C2:AG2)),C2:AG2)</f>
        <v>8790</v>
      </c>
    </row>
    <row r="3" spans="1:36" x14ac:dyDescent="0.4">
      <c r="A3" s="16" t="s">
        <v>39</v>
      </c>
      <c r="B3" s="20" t="s">
        <v>9</v>
      </c>
      <c r="C3" s="13">
        <v>15371</v>
      </c>
      <c r="D3" s="13">
        <v>17797</v>
      </c>
      <c r="E3" s="13">
        <v>17885</v>
      </c>
      <c r="F3" s="13">
        <v>15789</v>
      </c>
      <c r="G3" s="13">
        <v>15391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4"/>
      <c r="AH3" s="17" cm="1">
        <f t="array" ref="AH3">LOOKUP(2,1/(ISNUMBER(C3:AG3)),C3:AG3)</f>
        <v>15391</v>
      </c>
    </row>
    <row r="4" spans="1:36" x14ac:dyDescent="0.4">
      <c r="A4" s="16" t="s">
        <v>39</v>
      </c>
      <c r="B4" s="20" t="s">
        <v>8</v>
      </c>
      <c r="C4" s="13">
        <v>4977</v>
      </c>
      <c r="D4" s="13">
        <v>5799</v>
      </c>
      <c r="E4" s="13">
        <v>7736</v>
      </c>
      <c r="F4" s="13">
        <v>7493</v>
      </c>
      <c r="G4" s="13">
        <v>9106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4"/>
      <c r="AH4" s="17" cm="1">
        <f t="array" ref="AH4">LOOKUP(2,1/(ISNUMBER(C4:AG4)),C4:AG4)</f>
        <v>9106</v>
      </c>
    </row>
    <row r="5" spans="1:36" x14ac:dyDescent="0.4">
      <c r="A5" s="15" t="s">
        <v>40</v>
      </c>
      <c r="B5" s="12" t="s">
        <v>0</v>
      </c>
      <c r="C5" s="13">
        <v>4907</v>
      </c>
      <c r="D5" s="13">
        <v>4750</v>
      </c>
      <c r="E5" s="13">
        <v>8418</v>
      </c>
      <c r="F5" s="13">
        <v>6660</v>
      </c>
      <c r="G5" s="13">
        <v>5740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4"/>
      <c r="AH5" s="17" cm="1">
        <f t="array" ref="AH5">LOOKUP(2,1/(ISNUMBER(C5:AG5)),C5:AG5)</f>
        <v>5740</v>
      </c>
    </row>
    <row r="6" spans="1:36" x14ac:dyDescent="0.4">
      <c r="A6" s="15" t="s">
        <v>40</v>
      </c>
      <c r="B6" s="12" t="s">
        <v>17</v>
      </c>
      <c r="C6" s="13">
        <v>0</v>
      </c>
      <c r="D6" s="13">
        <v>3815</v>
      </c>
      <c r="E6" s="13">
        <v>5842</v>
      </c>
      <c r="F6" s="13">
        <v>7425</v>
      </c>
      <c r="G6" s="13">
        <v>7091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4"/>
      <c r="AH6" s="17" cm="1">
        <f t="array" ref="AH6">LOOKUP(2,1/(ISNUMBER(C6:AG6)),C6:AG6)</f>
        <v>7091</v>
      </c>
    </row>
    <row r="7" spans="1:36" x14ac:dyDescent="0.4">
      <c r="A7" s="16" t="s">
        <v>39</v>
      </c>
      <c r="B7" s="20" t="s">
        <v>12</v>
      </c>
      <c r="C7" s="13">
        <v>1160</v>
      </c>
      <c r="D7" s="13">
        <v>1160</v>
      </c>
      <c r="E7" s="13">
        <v>6090</v>
      </c>
      <c r="F7" s="13">
        <v>4936</v>
      </c>
      <c r="G7" s="13">
        <v>6976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4"/>
      <c r="AH7" s="17" cm="1">
        <f t="array" ref="AH7">LOOKUP(2,1/(ISNUMBER(C7:AG7)),C7:AG7)</f>
        <v>6976</v>
      </c>
    </row>
    <row r="8" spans="1:36" x14ac:dyDescent="0.4">
      <c r="A8" s="15" t="s">
        <v>40</v>
      </c>
      <c r="B8" s="12" t="s">
        <v>6</v>
      </c>
      <c r="C8" s="13">
        <v>10622</v>
      </c>
      <c r="D8" s="13">
        <v>11572</v>
      </c>
      <c r="E8" s="13">
        <v>10333</v>
      </c>
      <c r="F8" s="13">
        <v>9222</v>
      </c>
      <c r="G8" s="13">
        <v>9135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4"/>
      <c r="AH8" s="17" cm="1">
        <f t="array" ref="AH8">LOOKUP(2,1/(ISNUMBER(C8:AG8)),C8:AG8)</f>
        <v>9135</v>
      </c>
    </row>
    <row r="9" spans="1:36" x14ac:dyDescent="0.4">
      <c r="A9" s="15" t="s">
        <v>40</v>
      </c>
      <c r="B9" s="12" t="s">
        <v>7</v>
      </c>
      <c r="C9" s="13"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4"/>
      <c r="AH9" s="17" cm="1">
        <f t="array" ref="AH9">LOOKUP(2,1/(ISNUMBER(C9:AG9)),C9:AG9)</f>
        <v>0</v>
      </c>
    </row>
    <row r="10" spans="1:36" x14ac:dyDescent="0.4">
      <c r="A10" s="16" t="s">
        <v>39</v>
      </c>
      <c r="B10" s="20" t="s">
        <v>11</v>
      </c>
      <c r="C10" s="13">
        <v>2463</v>
      </c>
      <c r="D10" s="13">
        <v>2463</v>
      </c>
      <c r="E10" s="13">
        <v>2463</v>
      </c>
      <c r="F10" s="13">
        <v>2463</v>
      </c>
      <c r="G10" s="13">
        <v>2463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4"/>
      <c r="AH10" s="17" cm="1">
        <f t="array" ref="AH10">LOOKUP(2,1/(ISNUMBER(C10:AG10)),C10:AG10)</f>
        <v>2463</v>
      </c>
    </row>
    <row r="11" spans="1:36" x14ac:dyDescent="0.4">
      <c r="A11" s="16" t="s">
        <v>39</v>
      </c>
      <c r="B11" s="20" t="s">
        <v>13</v>
      </c>
      <c r="C11" s="13">
        <v>2020</v>
      </c>
      <c r="D11" s="13">
        <v>1683</v>
      </c>
      <c r="E11" s="13">
        <v>1783</v>
      </c>
      <c r="F11" s="13">
        <v>1745</v>
      </c>
      <c r="G11" s="13">
        <v>1888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4"/>
      <c r="AH11" s="17" cm="1">
        <f t="array" ref="AH11">LOOKUP(2,1/(ISNUMBER(C11:AG11)),C11:AG11)</f>
        <v>1888</v>
      </c>
    </row>
    <row r="14" spans="1:36" x14ac:dyDescent="0.4">
      <c r="AJ14" s="17"/>
    </row>
    <row r="15" spans="1:36" x14ac:dyDescent="0.4">
      <c r="AJ15" s="17"/>
    </row>
  </sheetData>
  <phoneticPr fontId="2"/>
  <conditionalFormatting sqref="AH2:AH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{1B55721D-AB90-46FE-97D1-DD2350E25C6A}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5721D-AB90-46FE-97D1-DD2350E25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AH2:AH11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5B032D9A3856648A8143F6285CEE0DB" ma:contentTypeVersion="11" ma:contentTypeDescription="新しいドキュメントを作成します。" ma:contentTypeScope="" ma:versionID="38aae4a2c752f50a171daba64f3ceb21">
  <xsd:schema xmlns:xsd="http://www.w3.org/2001/XMLSchema" xmlns:xs="http://www.w3.org/2001/XMLSchema" xmlns:p="http://schemas.microsoft.com/office/2006/metadata/properties" xmlns:ns2="2dea3bf7-2633-43c2-9c70-19e6640a7938" xmlns:ns3="7fbb197d-847a-4bc6-bd33-6f0cc6ed3112" targetNamespace="http://schemas.microsoft.com/office/2006/metadata/properties" ma:root="true" ma:fieldsID="8c17ea2fc59357015322f92f10d6418d" ns2:_="" ns3:_="">
    <xsd:import namespace="2dea3bf7-2633-43c2-9c70-19e6640a7938"/>
    <xsd:import namespace="7fbb197d-847a-4bc6-bd33-6f0cc6ed31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a3bf7-2633-43c2-9c70-19e6640a79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7502a51-2132-4fbf-859b-db2a38997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b197d-847a-4bc6-bd33-6f0cc6ed31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380155-d016-4edb-b18d-217324112bbe}" ma:internalName="TaxCatchAll" ma:showField="CatchAllData" ma:web="7fbb197d-847a-4bc6-bd33-6f0cc6ed31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bb197d-847a-4bc6-bd33-6f0cc6ed3112" xsi:nil="true"/>
    <lcf76f155ced4ddcb4097134ff3c332f xmlns="2dea3bf7-2633-43c2-9c70-19e6640a79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01DBA8-67EA-404D-8B19-11F98135F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ea3bf7-2633-43c2-9c70-19e6640a7938"/>
    <ds:schemaRef ds:uri="7fbb197d-847a-4bc6-bd33-6f0cc6ed31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36B6C7-7B63-41A9-9020-B1AE6852D1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2D878-C4BA-4392-867E-1794908B37C2}">
  <ds:schemaRefs>
    <ds:schemaRef ds:uri="http://schemas.microsoft.com/office/2006/metadata/properties"/>
    <ds:schemaRef ds:uri="http://schemas.microsoft.com/office/infopath/2007/PartnerControls"/>
    <ds:schemaRef ds:uri="7fbb197d-847a-4bc6-bd33-6f0cc6ed3112"/>
    <ds:schemaRef ds:uri="2dea3bf7-2633-43c2-9c70-19e6640a79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11月</vt:lpstr>
      <vt:lpstr>12月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金子英輝</dc:creator>
  <cp:keywords/>
  <dc:description/>
  <cp:lastModifiedBy>Hideki Kaneko</cp:lastModifiedBy>
  <cp:revision/>
  <dcterms:created xsi:type="dcterms:W3CDTF">2024-09-06T22:44:16Z</dcterms:created>
  <dcterms:modified xsi:type="dcterms:W3CDTF">2025-12-05T14:27:31Z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0x01010035B032D9A3856648A8143F6285CEE0DB</vt:lpwstr>
  </property>
  <property fmtid="{D5CDD505-2E9C-101B-9397-08002B2CF9AE}" pid="3" name="MediaServiceImageTags">
    <vt:lpwstr/>
  </property>
</Properties>
</file>